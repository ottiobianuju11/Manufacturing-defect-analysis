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94A11F4-F4F9-46EF-B632-C767715906C3}" xr6:coauthVersionLast="47" xr6:coauthVersionMax="47" xr10:uidLastSave="{00000000-0000-0000-0000-000000000000}"/>
  <bookViews>
    <workbookView xWindow="30" yWindow="30" windowWidth="23970" windowHeight="12870" activeTab="4" xr2:uid="{39B7F1D3-5BFA-4E05-9262-213AB8092DBD}"/>
  </bookViews>
  <sheets>
    <sheet name="defects_data (2)" sheetId="1" r:id="rId1"/>
    <sheet name="pivot table 1" sheetId="3" r:id="rId2"/>
    <sheet name="pivot table 2" sheetId="4" r:id="rId3"/>
    <sheet name="pivot tabe 3" sheetId="7" r:id="rId4"/>
    <sheet name="Dictionary" sheetId="2" r:id="rId5"/>
  </sheets>
  <definedNames>
    <definedName name="_xlnm._FilterDatabase" localSheetId="1" hidden="1">'pivot table 1'!$B$1:$B$1001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7" l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6" i="7"/>
  <c r="D7" i="7"/>
  <c r="D5" i="7"/>
  <c r="K2" i="3"/>
  <c r="L2" i="3" s="1"/>
  <c r="K71" i="4"/>
  <c r="J3" i="3"/>
  <c r="L3" i="3" s="1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5" i="3"/>
  <c r="I6" i="3"/>
  <c r="I7" i="3"/>
  <c r="I8" i="3"/>
  <c r="I9" i="3"/>
  <c r="I10" i="3"/>
  <c r="I11" i="3"/>
  <c r="I3" i="3"/>
  <c r="I4" i="3"/>
  <c r="I2" i="3"/>
  <c r="J71" i="4"/>
  <c r="C6" i="7" l="1"/>
  <c r="J4" i="3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J232" i="3" s="1"/>
  <c r="J233" i="3" s="1"/>
  <c r="J234" i="3" s="1"/>
  <c r="J235" i="3" s="1"/>
  <c r="J236" i="3" s="1"/>
  <c r="J237" i="3" s="1"/>
  <c r="J238" i="3" s="1"/>
  <c r="J239" i="3" s="1"/>
  <c r="J240" i="3" s="1"/>
  <c r="J241" i="3" s="1"/>
  <c r="J242" i="3" s="1"/>
  <c r="J243" i="3" s="1"/>
  <c r="J244" i="3" s="1"/>
  <c r="J245" i="3" s="1"/>
  <c r="J246" i="3" s="1"/>
  <c r="J247" i="3" s="1"/>
  <c r="J248" i="3" s="1"/>
  <c r="J249" i="3" s="1"/>
  <c r="J250" i="3" s="1"/>
  <c r="J251" i="3" s="1"/>
  <c r="J252" i="3" s="1"/>
  <c r="J253" i="3" s="1"/>
  <c r="J254" i="3" s="1"/>
  <c r="J255" i="3" s="1"/>
  <c r="J256" i="3" s="1"/>
  <c r="J257" i="3" s="1"/>
  <c r="J258" i="3" s="1"/>
  <c r="J259" i="3" s="1"/>
  <c r="J260" i="3" s="1"/>
  <c r="J261" i="3" s="1"/>
  <c r="J262" i="3" s="1"/>
  <c r="J263" i="3" s="1"/>
  <c r="J264" i="3" s="1"/>
  <c r="J265" i="3" s="1"/>
  <c r="J266" i="3" s="1"/>
  <c r="J267" i="3" s="1"/>
  <c r="J268" i="3" s="1"/>
  <c r="J269" i="3" s="1"/>
  <c r="J270" i="3" s="1"/>
  <c r="J271" i="3" s="1"/>
  <c r="J272" i="3" s="1"/>
  <c r="J273" i="3" s="1"/>
  <c r="J274" i="3" s="1"/>
  <c r="J275" i="3" s="1"/>
  <c r="J276" i="3" s="1"/>
  <c r="J277" i="3" s="1"/>
  <c r="J278" i="3" s="1"/>
  <c r="J279" i="3" s="1"/>
  <c r="J280" i="3" s="1"/>
  <c r="J281" i="3" s="1"/>
  <c r="J282" i="3" s="1"/>
  <c r="J283" i="3" s="1"/>
  <c r="J284" i="3" s="1"/>
  <c r="J285" i="3" s="1"/>
  <c r="J286" i="3" s="1"/>
  <c r="J287" i="3" s="1"/>
  <c r="J288" i="3" s="1"/>
  <c r="J289" i="3" s="1"/>
  <c r="J290" i="3" s="1"/>
  <c r="J291" i="3" s="1"/>
  <c r="J292" i="3" s="1"/>
  <c r="J293" i="3" s="1"/>
  <c r="J294" i="3" s="1"/>
  <c r="J295" i="3" s="1"/>
  <c r="J296" i="3" s="1"/>
  <c r="J297" i="3" s="1"/>
  <c r="J298" i="3" s="1"/>
  <c r="J299" i="3" s="1"/>
  <c r="J300" i="3" s="1"/>
  <c r="J301" i="3" s="1"/>
  <c r="J302" i="3" s="1"/>
  <c r="J303" i="3" s="1"/>
  <c r="J304" i="3" s="1"/>
  <c r="J305" i="3" s="1"/>
  <c r="J306" i="3" s="1"/>
  <c r="J307" i="3" s="1"/>
  <c r="J308" i="3" s="1"/>
  <c r="J309" i="3" s="1"/>
  <c r="J310" i="3" s="1"/>
  <c r="J311" i="3" s="1"/>
  <c r="J312" i="3" s="1"/>
  <c r="J313" i="3" s="1"/>
  <c r="J314" i="3" s="1"/>
  <c r="J315" i="3" s="1"/>
  <c r="J316" i="3" s="1"/>
  <c r="J317" i="3" s="1"/>
  <c r="J318" i="3" s="1"/>
  <c r="J319" i="3" s="1"/>
  <c r="J320" i="3" s="1"/>
  <c r="J321" i="3" s="1"/>
  <c r="J322" i="3" s="1"/>
  <c r="J323" i="3" s="1"/>
  <c r="J324" i="3" s="1"/>
  <c r="J325" i="3" s="1"/>
  <c r="J326" i="3" s="1"/>
  <c r="J327" i="3" s="1"/>
  <c r="J328" i="3" s="1"/>
  <c r="J329" i="3" s="1"/>
  <c r="J330" i="3" s="1"/>
  <c r="J331" i="3" s="1"/>
  <c r="J332" i="3" s="1"/>
  <c r="J333" i="3" s="1"/>
  <c r="J334" i="3" s="1"/>
  <c r="J335" i="3" s="1"/>
  <c r="J336" i="3" s="1"/>
  <c r="J337" i="3" s="1"/>
  <c r="J338" i="3" s="1"/>
  <c r="J339" i="3" s="1"/>
  <c r="J340" i="3" s="1"/>
  <c r="J341" i="3" s="1"/>
  <c r="J342" i="3" s="1"/>
  <c r="J343" i="3" s="1"/>
  <c r="J344" i="3" s="1"/>
  <c r="J345" i="3" s="1"/>
  <c r="J346" i="3" s="1"/>
  <c r="J347" i="3" s="1"/>
  <c r="J348" i="3" s="1"/>
  <c r="J349" i="3" s="1"/>
  <c r="J350" i="3" s="1"/>
  <c r="J351" i="3" s="1"/>
  <c r="J352" i="3" s="1"/>
  <c r="J353" i="3" s="1"/>
  <c r="J354" i="3" s="1"/>
  <c r="J355" i="3" s="1"/>
  <c r="J356" i="3" s="1"/>
  <c r="J357" i="3" s="1"/>
  <c r="J358" i="3" s="1"/>
  <c r="J359" i="3" s="1"/>
  <c r="J360" i="3" s="1"/>
  <c r="J361" i="3" s="1"/>
  <c r="J362" i="3" s="1"/>
  <c r="J363" i="3" s="1"/>
  <c r="J364" i="3" s="1"/>
  <c r="J365" i="3" s="1"/>
  <c r="J366" i="3" s="1"/>
  <c r="J367" i="3" s="1"/>
  <c r="J368" i="3" s="1"/>
  <c r="J369" i="3" s="1"/>
  <c r="J370" i="3" s="1"/>
  <c r="J371" i="3" s="1"/>
  <c r="J372" i="3" s="1"/>
  <c r="J373" i="3" s="1"/>
  <c r="J374" i="3" s="1"/>
  <c r="J375" i="3" s="1"/>
  <c r="J376" i="3" s="1"/>
  <c r="J377" i="3" s="1"/>
  <c r="J378" i="3" s="1"/>
  <c r="J379" i="3" s="1"/>
  <c r="J380" i="3" s="1"/>
  <c r="J381" i="3" s="1"/>
  <c r="J382" i="3" s="1"/>
  <c r="J383" i="3" s="1"/>
  <c r="J384" i="3" s="1"/>
  <c r="J385" i="3" s="1"/>
  <c r="J386" i="3" s="1"/>
  <c r="J387" i="3" s="1"/>
  <c r="J388" i="3" s="1"/>
  <c r="J389" i="3" s="1"/>
  <c r="J390" i="3" s="1"/>
  <c r="J391" i="3" s="1"/>
  <c r="J392" i="3" s="1"/>
  <c r="J393" i="3" s="1"/>
  <c r="J394" i="3" s="1"/>
  <c r="J395" i="3" s="1"/>
  <c r="J396" i="3" s="1"/>
  <c r="J397" i="3" s="1"/>
  <c r="J398" i="3" s="1"/>
  <c r="J399" i="3" s="1"/>
  <c r="J400" i="3" s="1"/>
  <c r="J401" i="3" s="1"/>
  <c r="J402" i="3" s="1"/>
  <c r="J403" i="3" s="1"/>
  <c r="J404" i="3" s="1"/>
  <c r="J405" i="3" s="1"/>
  <c r="J406" i="3" s="1"/>
  <c r="J407" i="3" s="1"/>
  <c r="J408" i="3" s="1"/>
  <c r="J409" i="3" s="1"/>
  <c r="J410" i="3" s="1"/>
  <c r="J411" i="3" s="1"/>
  <c r="J412" i="3" s="1"/>
  <c r="J413" i="3" s="1"/>
  <c r="J414" i="3" s="1"/>
  <c r="J415" i="3" s="1"/>
  <c r="J416" i="3" s="1"/>
  <c r="J417" i="3" s="1"/>
  <c r="J418" i="3" s="1"/>
  <c r="J419" i="3" s="1"/>
  <c r="J420" i="3" s="1"/>
  <c r="J421" i="3" s="1"/>
  <c r="J422" i="3" s="1"/>
  <c r="J423" i="3" s="1"/>
  <c r="J424" i="3" s="1"/>
  <c r="J425" i="3" s="1"/>
  <c r="J426" i="3" s="1"/>
  <c r="J427" i="3" s="1"/>
  <c r="J428" i="3" s="1"/>
  <c r="J429" i="3" s="1"/>
  <c r="J430" i="3" s="1"/>
  <c r="J431" i="3" s="1"/>
  <c r="J432" i="3" s="1"/>
  <c r="J433" i="3" s="1"/>
  <c r="J434" i="3" s="1"/>
  <c r="J435" i="3" s="1"/>
  <c r="J436" i="3" s="1"/>
  <c r="J437" i="3" s="1"/>
  <c r="J438" i="3" s="1"/>
  <c r="J439" i="3" s="1"/>
  <c r="J440" i="3" s="1"/>
  <c r="J441" i="3" s="1"/>
  <c r="J442" i="3" s="1"/>
  <c r="J443" i="3" s="1"/>
  <c r="J444" i="3" s="1"/>
  <c r="J445" i="3" s="1"/>
  <c r="J446" i="3" s="1"/>
  <c r="J447" i="3" s="1"/>
  <c r="J448" i="3" s="1"/>
  <c r="J449" i="3" s="1"/>
  <c r="J450" i="3" s="1"/>
  <c r="J451" i="3" s="1"/>
  <c r="J452" i="3" s="1"/>
  <c r="J453" i="3" s="1"/>
  <c r="J454" i="3" s="1"/>
  <c r="J455" i="3" s="1"/>
  <c r="J456" i="3" s="1"/>
  <c r="J457" i="3" s="1"/>
  <c r="J458" i="3" s="1"/>
  <c r="J459" i="3" s="1"/>
  <c r="J460" i="3" s="1"/>
  <c r="J461" i="3" s="1"/>
  <c r="J462" i="3" s="1"/>
  <c r="J463" i="3" s="1"/>
  <c r="J464" i="3" s="1"/>
  <c r="J465" i="3" s="1"/>
  <c r="J466" i="3" s="1"/>
  <c r="J467" i="3" s="1"/>
  <c r="J468" i="3" s="1"/>
  <c r="J469" i="3" s="1"/>
  <c r="J470" i="3" s="1"/>
  <c r="J471" i="3" s="1"/>
  <c r="J472" i="3" s="1"/>
  <c r="J473" i="3" s="1"/>
  <c r="J474" i="3" s="1"/>
  <c r="J475" i="3" s="1"/>
  <c r="J476" i="3" s="1"/>
  <c r="J477" i="3" s="1"/>
  <c r="J478" i="3" s="1"/>
  <c r="J479" i="3" s="1"/>
  <c r="J480" i="3" s="1"/>
  <c r="J481" i="3" s="1"/>
  <c r="J482" i="3" s="1"/>
  <c r="J483" i="3" s="1"/>
  <c r="J484" i="3" s="1"/>
  <c r="J485" i="3" s="1"/>
  <c r="J486" i="3" s="1"/>
  <c r="J487" i="3" s="1"/>
  <c r="J488" i="3" s="1"/>
  <c r="J489" i="3" s="1"/>
  <c r="J490" i="3" s="1"/>
  <c r="J491" i="3" s="1"/>
  <c r="J492" i="3" s="1"/>
  <c r="J493" i="3" s="1"/>
  <c r="J494" i="3" s="1"/>
  <c r="J495" i="3" s="1"/>
  <c r="J496" i="3" s="1"/>
  <c r="J497" i="3" s="1"/>
  <c r="J498" i="3" s="1"/>
  <c r="J499" i="3" s="1"/>
  <c r="J500" i="3" s="1"/>
  <c r="J501" i="3" s="1"/>
  <c r="J502" i="3" s="1"/>
  <c r="J503" i="3" s="1"/>
  <c r="J504" i="3" s="1"/>
  <c r="J505" i="3" s="1"/>
  <c r="J506" i="3" s="1"/>
  <c r="J507" i="3" s="1"/>
  <c r="J508" i="3" s="1"/>
  <c r="J509" i="3" s="1"/>
  <c r="J510" i="3" s="1"/>
  <c r="J511" i="3" s="1"/>
  <c r="J512" i="3" s="1"/>
  <c r="J513" i="3" s="1"/>
  <c r="J514" i="3" s="1"/>
  <c r="J515" i="3" s="1"/>
  <c r="J516" i="3" s="1"/>
  <c r="J517" i="3" s="1"/>
  <c r="J518" i="3" s="1"/>
  <c r="J519" i="3" s="1"/>
  <c r="J520" i="3" s="1"/>
  <c r="J521" i="3" s="1"/>
  <c r="J522" i="3" s="1"/>
  <c r="J523" i="3" s="1"/>
  <c r="J524" i="3" s="1"/>
  <c r="J525" i="3" s="1"/>
  <c r="J526" i="3" s="1"/>
  <c r="J527" i="3" s="1"/>
  <c r="J528" i="3" s="1"/>
  <c r="J529" i="3" s="1"/>
  <c r="J530" i="3" s="1"/>
  <c r="J531" i="3" s="1"/>
  <c r="J532" i="3" s="1"/>
  <c r="J533" i="3" s="1"/>
  <c r="J534" i="3" s="1"/>
  <c r="J535" i="3" s="1"/>
  <c r="J536" i="3" s="1"/>
  <c r="J537" i="3" s="1"/>
  <c r="J538" i="3" s="1"/>
  <c r="J539" i="3" s="1"/>
  <c r="J540" i="3" s="1"/>
  <c r="J541" i="3" s="1"/>
  <c r="J542" i="3" s="1"/>
  <c r="J543" i="3" s="1"/>
  <c r="J544" i="3" s="1"/>
  <c r="J545" i="3" s="1"/>
  <c r="J546" i="3" s="1"/>
  <c r="J547" i="3" s="1"/>
  <c r="J548" i="3" s="1"/>
  <c r="J549" i="3" s="1"/>
  <c r="J550" i="3" s="1"/>
  <c r="J551" i="3" s="1"/>
  <c r="J552" i="3" s="1"/>
  <c r="J553" i="3" s="1"/>
  <c r="J554" i="3" s="1"/>
  <c r="J555" i="3" s="1"/>
  <c r="J556" i="3" s="1"/>
  <c r="J557" i="3" s="1"/>
  <c r="J558" i="3" s="1"/>
  <c r="J559" i="3" s="1"/>
  <c r="J560" i="3" s="1"/>
  <c r="J561" i="3" s="1"/>
  <c r="J562" i="3" s="1"/>
  <c r="J563" i="3" s="1"/>
  <c r="J564" i="3" s="1"/>
  <c r="J565" i="3" s="1"/>
  <c r="J566" i="3" s="1"/>
  <c r="J567" i="3" s="1"/>
  <c r="J568" i="3" s="1"/>
  <c r="J569" i="3" s="1"/>
  <c r="J570" i="3" s="1"/>
  <c r="J571" i="3" s="1"/>
  <c r="J572" i="3" s="1"/>
  <c r="J573" i="3" s="1"/>
  <c r="J574" i="3" s="1"/>
  <c r="J575" i="3" s="1"/>
  <c r="J576" i="3" s="1"/>
  <c r="J577" i="3" s="1"/>
  <c r="J578" i="3" s="1"/>
  <c r="J579" i="3" s="1"/>
  <c r="J580" i="3" s="1"/>
  <c r="J581" i="3" s="1"/>
  <c r="J582" i="3" s="1"/>
  <c r="J583" i="3" s="1"/>
  <c r="J584" i="3" s="1"/>
  <c r="J585" i="3" s="1"/>
  <c r="J586" i="3" s="1"/>
  <c r="J587" i="3" s="1"/>
  <c r="J588" i="3" s="1"/>
  <c r="J589" i="3" s="1"/>
  <c r="J590" i="3" s="1"/>
  <c r="J591" i="3" s="1"/>
  <c r="J592" i="3" s="1"/>
  <c r="J593" i="3" s="1"/>
  <c r="J594" i="3" s="1"/>
  <c r="J595" i="3" s="1"/>
  <c r="J596" i="3" s="1"/>
  <c r="J597" i="3" s="1"/>
  <c r="J598" i="3" s="1"/>
  <c r="J599" i="3" s="1"/>
  <c r="J600" i="3" s="1"/>
  <c r="J601" i="3" s="1"/>
  <c r="J602" i="3" s="1"/>
  <c r="J603" i="3" s="1"/>
  <c r="J604" i="3" s="1"/>
  <c r="J605" i="3" s="1"/>
  <c r="J606" i="3" s="1"/>
  <c r="J607" i="3" s="1"/>
  <c r="J608" i="3" s="1"/>
  <c r="J609" i="3" s="1"/>
  <c r="J610" i="3" s="1"/>
  <c r="J611" i="3" s="1"/>
  <c r="J612" i="3" s="1"/>
  <c r="J613" i="3" s="1"/>
  <c r="J614" i="3" s="1"/>
  <c r="J615" i="3" s="1"/>
  <c r="J616" i="3" s="1"/>
  <c r="J617" i="3" s="1"/>
  <c r="J618" i="3" s="1"/>
  <c r="J619" i="3" s="1"/>
  <c r="J620" i="3" s="1"/>
  <c r="J621" i="3" s="1"/>
  <c r="J622" i="3" s="1"/>
  <c r="J623" i="3" s="1"/>
  <c r="J624" i="3" s="1"/>
  <c r="J625" i="3" s="1"/>
  <c r="J626" i="3" s="1"/>
  <c r="J627" i="3" s="1"/>
  <c r="J628" i="3" s="1"/>
  <c r="J629" i="3" s="1"/>
  <c r="J630" i="3" s="1"/>
  <c r="J631" i="3" s="1"/>
  <c r="J632" i="3" s="1"/>
  <c r="J633" i="3" s="1"/>
  <c r="J634" i="3" s="1"/>
  <c r="J635" i="3" s="1"/>
  <c r="J636" i="3" s="1"/>
  <c r="J637" i="3" s="1"/>
  <c r="J638" i="3" s="1"/>
  <c r="J639" i="3" s="1"/>
  <c r="J640" i="3" s="1"/>
  <c r="J641" i="3" s="1"/>
  <c r="J642" i="3" s="1"/>
  <c r="J643" i="3" s="1"/>
  <c r="J644" i="3" s="1"/>
  <c r="J645" i="3" s="1"/>
  <c r="J646" i="3" s="1"/>
  <c r="J647" i="3" s="1"/>
  <c r="J648" i="3" s="1"/>
  <c r="J649" i="3" s="1"/>
  <c r="J650" i="3" s="1"/>
  <c r="J651" i="3" s="1"/>
  <c r="J652" i="3" s="1"/>
  <c r="J653" i="3" s="1"/>
  <c r="J654" i="3" s="1"/>
  <c r="J655" i="3" s="1"/>
  <c r="J656" i="3" s="1"/>
  <c r="J657" i="3" s="1"/>
  <c r="J658" i="3" s="1"/>
  <c r="J659" i="3" s="1"/>
  <c r="J660" i="3" s="1"/>
  <c r="J661" i="3" s="1"/>
  <c r="J662" i="3" s="1"/>
  <c r="J663" i="3" s="1"/>
  <c r="J664" i="3" s="1"/>
  <c r="J665" i="3" s="1"/>
  <c r="J666" i="3" s="1"/>
  <c r="J667" i="3" s="1"/>
  <c r="J668" i="3" s="1"/>
  <c r="J669" i="3" s="1"/>
  <c r="J670" i="3" s="1"/>
  <c r="J671" i="3" s="1"/>
  <c r="J672" i="3" s="1"/>
  <c r="J673" i="3" s="1"/>
  <c r="J674" i="3" s="1"/>
  <c r="J675" i="3" s="1"/>
  <c r="J676" i="3" s="1"/>
  <c r="J677" i="3" s="1"/>
  <c r="J678" i="3" s="1"/>
  <c r="J679" i="3" s="1"/>
  <c r="J680" i="3" s="1"/>
  <c r="J681" i="3" s="1"/>
  <c r="J682" i="3" s="1"/>
  <c r="J683" i="3" s="1"/>
  <c r="J684" i="3" s="1"/>
  <c r="J685" i="3" s="1"/>
  <c r="J686" i="3" s="1"/>
  <c r="J687" i="3" s="1"/>
  <c r="J688" i="3" s="1"/>
  <c r="J689" i="3" s="1"/>
  <c r="J690" i="3" s="1"/>
  <c r="J691" i="3" s="1"/>
  <c r="J692" i="3" s="1"/>
  <c r="J693" i="3" s="1"/>
  <c r="J694" i="3" s="1"/>
  <c r="J695" i="3" s="1"/>
  <c r="J696" i="3" s="1"/>
  <c r="J697" i="3" s="1"/>
  <c r="J698" i="3" s="1"/>
  <c r="J699" i="3" s="1"/>
  <c r="J700" i="3" s="1"/>
  <c r="J701" i="3" s="1"/>
  <c r="J702" i="3" s="1"/>
  <c r="J703" i="3" s="1"/>
  <c r="J704" i="3" s="1"/>
  <c r="J705" i="3" s="1"/>
  <c r="J706" i="3" s="1"/>
  <c r="J707" i="3" s="1"/>
  <c r="J708" i="3" s="1"/>
  <c r="J709" i="3" s="1"/>
  <c r="J710" i="3" s="1"/>
  <c r="J711" i="3" s="1"/>
  <c r="J712" i="3" s="1"/>
  <c r="J713" i="3" s="1"/>
  <c r="J714" i="3" s="1"/>
  <c r="J715" i="3" s="1"/>
  <c r="J716" i="3" s="1"/>
  <c r="J717" i="3" s="1"/>
  <c r="J718" i="3" s="1"/>
  <c r="J719" i="3" s="1"/>
  <c r="J720" i="3" s="1"/>
  <c r="J721" i="3" s="1"/>
  <c r="J722" i="3" s="1"/>
  <c r="J723" i="3" s="1"/>
  <c r="J724" i="3" s="1"/>
  <c r="J725" i="3" s="1"/>
  <c r="J726" i="3" s="1"/>
  <c r="J727" i="3" s="1"/>
  <c r="J728" i="3" s="1"/>
  <c r="J729" i="3" s="1"/>
  <c r="J730" i="3" s="1"/>
  <c r="J731" i="3" s="1"/>
  <c r="J732" i="3" s="1"/>
  <c r="J733" i="3" s="1"/>
  <c r="J734" i="3" s="1"/>
  <c r="J735" i="3" s="1"/>
  <c r="J736" i="3" s="1"/>
  <c r="J737" i="3" s="1"/>
  <c r="J738" i="3" s="1"/>
  <c r="J739" i="3" s="1"/>
  <c r="J740" i="3" s="1"/>
  <c r="J741" i="3" s="1"/>
  <c r="J742" i="3" s="1"/>
  <c r="J743" i="3" s="1"/>
  <c r="J744" i="3" s="1"/>
  <c r="J745" i="3" s="1"/>
  <c r="J746" i="3" s="1"/>
  <c r="J747" i="3" s="1"/>
  <c r="J748" i="3" s="1"/>
  <c r="J749" i="3" s="1"/>
  <c r="J750" i="3" s="1"/>
  <c r="J751" i="3" s="1"/>
  <c r="J752" i="3" s="1"/>
  <c r="J753" i="3" s="1"/>
  <c r="J754" i="3" s="1"/>
  <c r="J755" i="3" s="1"/>
  <c r="J756" i="3" s="1"/>
  <c r="J757" i="3" s="1"/>
  <c r="J758" i="3" s="1"/>
  <c r="J759" i="3" s="1"/>
  <c r="J760" i="3" s="1"/>
  <c r="J761" i="3" s="1"/>
  <c r="J762" i="3" s="1"/>
  <c r="J763" i="3" s="1"/>
  <c r="J764" i="3" s="1"/>
  <c r="J765" i="3" s="1"/>
  <c r="J766" i="3" s="1"/>
  <c r="J767" i="3" s="1"/>
  <c r="J768" i="3" s="1"/>
  <c r="J769" i="3" s="1"/>
  <c r="J770" i="3" s="1"/>
  <c r="J771" i="3" s="1"/>
  <c r="J772" i="3" s="1"/>
  <c r="J773" i="3" s="1"/>
  <c r="J774" i="3" s="1"/>
  <c r="J775" i="3" s="1"/>
  <c r="J776" i="3" s="1"/>
  <c r="J777" i="3" s="1"/>
  <c r="J778" i="3" s="1"/>
  <c r="J779" i="3" s="1"/>
  <c r="J780" i="3" s="1"/>
  <c r="J781" i="3" s="1"/>
  <c r="J782" i="3" s="1"/>
  <c r="J783" i="3" s="1"/>
  <c r="J784" i="3" s="1"/>
  <c r="J785" i="3" s="1"/>
  <c r="J786" i="3" s="1"/>
  <c r="J787" i="3" s="1"/>
  <c r="J788" i="3" s="1"/>
  <c r="J789" i="3" s="1"/>
  <c r="J790" i="3" s="1"/>
  <c r="J791" i="3" s="1"/>
  <c r="J792" i="3" s="1"/>
  <c r="J793" i="3" s="1"/>
  <c r="J794" i="3" s="1"/>
  <c r="J795" i="3" s="1"/>
  <c r="J796" i="3" s="1"/>
  <c r="J797" i="3" s="1"/>
  <c r="J798" i="3" s="1"/>
  <c r="J799" i="3" s="1"/>
  <c r="J800" i="3" s="1"/>
  <c r="J801" i="3" s="1"/>
  <c r="J802" i="3" s="1"/>
  <c r="J803" i="3" s="1"/>
  <c r="J804" i="3" s="1"/>
  <c r="J805" i="3" s="1"/>
  <c r="J806" i="3" s="1"/>
  <c r="J807" i="3" s="1"/>
  <c r="J808" i="3" s="1"/>
  <c r="J809" i="3" s="1"/>
  <c r="J810" i="3" s="1"/>
  <c r="J811" i="3" s="1"/>
  <c r="J812" i="3" s="1"/>
  <c r="J813" i="3" s="1"/>
  <c r="J814" i="3" s="1"/>
  <c r="J815" i="3" s="1"/>
  <c r="J816" i="3" s="1"/>
  <c r="J817" i="3" s="1"/>
  <c r="J818" i="3" s="1"/>
  <c r="J819" i="3" s="1"/>
  <c r="J820" i="3" s="1"/>
  <c r="J821" i="3" s="1"/>
  <c r="J822" i="3" s="1"/>
  <c r="J823" i="3" s="1"/>
  <c r="J824" i="3" s="1"/>
  <c r="J825" i="3" s="1"/>
  <c r="J826" i="3" s="1"/>
  <c r="J827" i="3" s="1"/>
  <c r="J828" i="3" s="1"/>
  <c r="J829" i="3" s="1"/>
  <c r="J830" i="3" s="1"/>
  <c r="J831" i="3" s="1"/>
  <c r="J832" i="3" s="1"/>
  <c r="J833" i="3" s="1"/>
  <c r="J834" i="3" s="1"/>
  <c r="J835" i="3" s="1"/>
  <c r="J836" i="3" s="1"/>
  <c r="J837" i="3" s="1"/>
  <c r="J838" i="3" s="1"/>
  <c r="J839" i="3" s="1"/>
  <c r="J840" i="3" s="1"/>
  <c r="J841" i="3" s="1"/>
  <c r="J842" i="3" s="1"/>
  <c r="J843" i="3" s="1"/>
  <c r="J844" i="3" s="1"/>
  <c r="J845" i="3" s="1"/>
  <c r="J846" i="3" s="1"/>
  <c r="J847" i="3" s="1"/>
  <c r="J848" i="3" s="1"/>
  <c r="J849" i="3" s="1"/>
  <c r="J850" i="3" s="1"/>
  <c r="J851" i="3" s="1"/>
  <c r="J852" i="3" s="1"/>
  <c r="J853" i="3" s="1"/>
  <c r="J854" i="3" s="1"/>
  <c r="J855" i="3" s="1"/>
  <c r="J856" i="3" s="1"/>
  <c r="J857" i="3" s="1"/>
  <c r="J858" i="3" s="1"/>
  <c r="J859" i="3" s="1"/>
  <c r="J860" i="3" s="1"/>
  <c r="J861" i="3" s="1"/>
  <c r="J862" i="3" s="1"/>
  <c r="J863" i="3" s="1"/>
  <c r="J864" i="3" s="1"/>
  <c r="J865" i="3" s="1"/>
  <c r="J866" i="3" s="1"/>
  <c r="J867" i="3" s="1"/>
  <c r="J868" i="3" s="1"/>
  <c r="J869" i="3" s="1"/>
  <c r="J870" i="3" s="1"/>
  <c r="J871" i="3" s="1"/>
  <c r="J872" i="3" s="1"/>
  <c r="J873" i="3" s="1"/>
  <c r="J874" i="3" s="1"/>
  <c r="J875" i="3" s="1"/>
  <c r="J876" i="3" s="1"/>
  <c r="J877" i="3" s="1"/>
  <c r="J878" i="3" s="1"/>
  <c r="J879" i="3" s="1"/>
  <c r="J880" i="3" s="1"/>
  <c r="J881" i="3" s="1"/>
  <c r="J882" i="3" s="1"/>
  <c r="J883" i="3" s="1"/>
  <c r="J884" i="3" s="1"/>
  <c r="J885" i="3" s="1"/>
  <c r="J886" i="3" s="1"/>
  <c r="J887" i="3" s="1"/>
  <c r="J888" i="3" s="1"/>
  <c r="J889" i="3" s="1"/>
  <c r="J890" i="3" s="1"/>
  <c r="J891" i="3" s="1"/>
  <c r="J892" i="3" s="1"/>
  <c r="J893" i="3" s="1"/>
  <c r="J894" i="3" s="1"/>
  <c r="J895" i="3" s="1"/>
  <c r="J896" i="3" s="1"/>
  <c r="J897" i="3" s="1"/>
  <c r="J898" i="3" s="1"/>
  <c r="J899" i="3" s="1"/>
  <c r="J900" i="3" s="1"/>
  <c r="J901" i="3" s="1"/>
  <c r="J902" i="3" s="1"/>
  <c r="J903" i="3" s="1"/>
  <c r="J904" i="3" s="1"/>
  <c r="J905" i="3" s="1"/>
  <c r="J906" i="3" s="1"/>
  <c r="J907" i="3" s="1"/>
  <c r="J908" i="3" s="1"/>
  <c r="J909" i="3" s="1"/>
  <c r="J910" i="3" s="1"/>
  <c r="J911" i="3" s="1"/>
  <c r="J912" i="3" s="1"/>
  <c r="J913" i="3" s="1"/>
  <c r="J914" i="3" s="1"/>
  <c r="J915" i="3" s="1"/>
  <c r="J916" i="3" s="1"/>
  <c r="J917" i="3" s="1"/>
  <c r="J918" i="3" s="1"/>
  <c r="J919" i="3" s="1"/>
  <c r="J920" i="3" s="1"/>
  <c r="J921" i="3" s="1"/>
  <c r="J922" i="3" s="1"/>
  <c r="J923" i="3" s="1"/>
  <c r="J924" i="3" s="1"/>
  <c r="J925" i="3" s="1"/>
  <c r="J926" i="3" s="1"/>
  <c r="J927" i="3" s="1"/>
  <c r="J928" i="3" s="1"/>
  <c r="J929" i="3" s="1"/>
  <c r="J930" i="3" s="1"/>
  <c r="J931" i="3" s="1"/>
  <c r="J932" i="3" s="1"/>
  <c r="J933" i="3" s="1"/>
  <c r="J934" i="3" s="1"/>
  <c r="J935" i="3" s="1"/>
  <c r="J936" i="3" s="1"/>
  <c r="J937" i="3" s="1"/>
  <c r="J938" i="3" s="1"/>
  <c r="J939" i="3" s="1"/>
  <c r="J940" i="3" s="1"/>
  <c r="J941" i="3" s="1"/>
  <c r="J942" i="3" s="1"/>
  <c r="J943" i="3" s="1"/>
  <c r="J944" i="3" s="1"/>
  <c r="J945" i="3" s="1"/>
  <c r="J946" i="3" s="1"/>
  <c r="J947" i="3" s="1"/>
  <c r="J948" i="3" s="1"/>
  <c r="J949" i="3" s="1"/>
  <c r="J950" i="3" s="1"/>
  <c r="J951" i="3" s="1"/>
  <c r="J952" i="3" s="1"/>
  <c r="J953" i="3" s="1"/>
  <c r="J954" i="3" s="1"/>
  <c r="J955" i="3" s="1"/>
  <c r="J956" i="3" s="1"/>
  <c r="J957" i="3" s="1"/>
  <c r="J958" i="3" s="1"/>
  <c r="J959" i="3" s="1"/>
  <c r="J960" i="3" s="1"/>
  <c r="J961" i="3" s="1"/>
  <c r="J962" i="3" s="1"/>
  <c r="J963" i="3" s="1"/>
  <c r="J964" i="3" s="1"/>
  <c r="J965" i="3" s="1"/>
  <c r="J966" i="3" s="1"/>
  <c r="J967" i="3" s="1"/>
  <c r="J968" i="3" s="1"/>
  <c r="J969" i="3" s="1"/>
  <c r="J970" i="3" s="1"/>
  <c r="J971" i="3" s="1"/>
  <c r="J972" i="3" s="1"/>
  <c r="J973" i="3" s="1"/>
  <c r="J974" i="3" s="1"/>
  <c r="J975" i="3" s="1"/>
  <c r="J976" i="3" s="1"/>
  <c r="J977" i="3" s="1"/>
  <c r="J978" i="3" s="1"/>
  <c r="J979" i="3" s="1"/>
  <c r="J980" i="3" s="1"/>
  <c r="J981" i="3" s="1"/>
  <c r="J982" i="3" s="1"/>
  <c r="J983" i="3" s="1"/>
  <c r="J984" i="3" s="1"/>
  <c r="J985" i="3" s="1"/>
  <c r="J986" i="3" s="1"/>
  <c r="J987" i="3" s="1"/>
  <c r="J988" i="3" s="1"/>
  <c r="J989" i="3" s="1"/>
  <c r="J990" i="3" s="1"/>
  <c r="J991" i="3" s="1"/>
  <c r="J992" i="3" s="1"/>
  <c r="J993" i="3" s="1"/>
  <c r="J994" i="3" s="1"/>
  <c r="J995" i="3" s="1"/>
  <c r="J996" i="3" s="1"/>
  <c r="J997" i="3" s="1"/>
  <c r="J998" i="3" s="1"/>
  <c r="J999" i="3" s="1"/>
  <c r="J1000" i="3" s="1"/>
  <c r="J1001" i="3" s="1"/>
  <c r="J72" i="4"/>
  <c r="C7" i="7" l="1"/>
  <c r="K72" i="4"/>
  <c r="J73" i="4"/>
  <c r="C8" i="7" l="1"/>
  <c r="J74" i="4"/>
  <c r="K73" i="4"/>
  <c r="C9" i="7" l="1"/>
  <c r="J75" i="4"/>
  <c r="K74" i="4"/>
  <c r="C10" i="7" l="1"/>
  <c r="J76" i="4"/>
  <c r="K75" i="4"/>
  <c r="C11" i="7" l="1"/>
  <c r="J77" i="4"/>
  <c r="K76" i="4"/>
  <c r="C12" i="7" l="1"/>
  <c r="J78" i="4"/>
  <c r="K77" i="4"/>
  <c r="C13" i="7" l="1"/>
  <c r="J79" i="4"/>
  <c r="K78" i="4"/>
  <c r="C14" i="7" l="1"/>
  <c r="J80" i="4"/>
  <c r="K79" i="4"/>
  <c r="C15" i="7" l="1"/>
  <c r="J81" i="4"/>
  <c r="K80" i="4"/>
  <c r="C16" i="7" l="1"/>
  <c r="J82" i="4"/>
  <c r="K81" i="4"/>
  <c r="C17" i="7" l="1"/>
  <c r="J83" i="4"/>
  <c r="K82" i="4"/>
  <c r="C18" i="7" l="1"/>
  <c r="J84" i="4"/>
  <c r="K83" i="4"/>
  <c r="C19" i="7" l="1"/>
  <c r="J85" i="4"/>
  <c r="K84" i="4"/>
  <c r="C20" i="7" l="1"/>
  <c r="J86" i="4"/>
  <c r="K85" i="4"/>
  <c r="C21" i="7" l="1"/>
  <c r="J87" i="4"/>
  <c r="K86" i="4"/>
  <c r="C22" i="7" l="1"/>
  <c r="J88" i="4"/>
  <c r="K87" i="4"/>
  <c r="C23" i="7" l="1"/>
  <c r="J89" i="4"/>
  <c r="K88" i="4"/>
  <c r="C24" i="7" l="1"/>
  <c r="J90" i="4"/>
  <c r="K89" i="4"/>
  <c r="C25" i="7" l="1"/>
  <c r="J91" i="4"/>
  <c r="K90" i="4"/>
  <c r="C26" i="7" l="1"/>
  <c r="J92" i="4"/>
  <c r="K91" i="4"/>
  <c r="C27" i="7" l="1"/>
  <c r="J93" i="4"/>
  <c r="K92" i="4"/>
  <c r="C28" i="7" l="1"/>
  <c r="J94" i="4"/>
  <c r="K93" i="4"/>
  <c r="C29" i="7" l="1"/>
  <c r="J95" i="4"/>
  <c r="K94" i="4"/>
  <c r="C30" i="7" l="1"/>
  <c r="J96" i="4"/>
  <c r="K95" i="4"/>
  <c r="C31" i="7" l="1"/>
  <c r="J97" i="4"/>
  <c r="K96" i="4"/>
  <c r="C32" i="7" l="1"/>
  <c r="J98" i="4"/>
  <c r="K97" i="4"/>
  <c r="C33" i="7" l="1"/>
  <c r="J99" i="4"/>
  <c r="K98" i="4"/>
  <c r="C34" i="7" l="1"/>
  <c r="J100" i="4"/>
  <c r="K99" i="4"/>
  <c r="C35" i="7" l="1"/>
  <c r="J101" i="4"/>
  <c r="K100" i="4"/>
  <c r="C36" i="7" l="1"/>
  <c r="J102" i="4"/>
  <c r="K101" i="4"/>
  <c r="C37" i="7" l="1"/>
  <c r="J103" i="4"/>
  <c r="K102" i="4"/>
  <c r="C38" i="7" l="1"/>
  <c r="J104" i="4"/>
  <c r="K103" i="4"/>
  <c r="C39" i="7" l="1"/>
  <c r="J105" i="4"/>
  <c r="K104" i="4"/>
  <c r="C40" i="7" l="1"/>
  <c r="J106" i="4"/>
  <c r="K105" i="4"/>
  <c r="C41" i="7" l="1"/>
  <c r="J107" i="4"/>
  <c r="K106" i="4"/>
  <c r="C42" i="7" l="1"/>
  <c r="J108" i="4"/>
  <c r="K107" i="4"/>
  <c r="C43" i="7" l="1"/>
  <c r="J109" i="4"/>
  <c r="K108" i="4"/>
  <c r="C44" i="7" l="1"/>
  <c r="J110" i="4"/>
  <c r="K109" i="4"/>
  <c r="C45" i="7" l="1"/>
  <c r="J111" i="4"/>
  <c r="K110" i="4"/>
  <c r="C46" i="7" l="1"/>
  <c r="J112" i="4"/>
  <c r="K111" i="4"/>
  <c r="C47" i="7" l="1"/>
  <c r="J113" i="4"/>
  <c r="K112" i="4"/>
  <c r="C48" i="7" l="1"/>
  <c r="J114" i="4"/>
  <c r="K113" i="4"/>
  <c r="C49" i="7" l="1"/>
  <c r="J115" i="4"/>
  <c r="K114" i="4"/>
  <c r="C50" i="7" l="1"/>
  <c r="J116" i="4"/>
  <c r="K115" i="4"/>
  <c r="C51" i="7" l="1"/>
  <c r="J117" i="4"/>
  <c r="K116" i="4"/>
  <c r="C52" i="7" l="1"/>
  <c r="J118" i="4"/>
  <c r="K117" i="4"/>
  <c r="C53" i="7" l="1"/>
  <c r="J119" i="4"/>
  <c r="K118" i="4"/>
  <c r="C54" i="7" l="1"/>
  <c r="J120" i="4"/>
  <c r="K119" i="4"/>
  <c r="C55" i="7" l="1"/>
  <c r="J121" i="4"/>
  <c r="K120" i="4"/>
  <c r="C56" i="7" l="1"/>
  <c r="J122" i="4"/>
  <c r="K121" i="4"/>
  <c r="C57" i="7" l="1"/>
  <c r="J123" i="4"/>
  <c r="K122" i="4"/>
  <c r="C58" i="7" l="1"/>
  <c r="J124" i="4"/>
  <c r="K123" i="4"/>
  <c r="C59" i="7" l="1"/>
  <c r="J125" i="4"/>
  <c r="K124" i="4"/>
  <c r="C60" i="7" l="1"/>
  <c r="J126" i="4"/>
  <c r="K125" i="4"/>
  <c r="C61" i="7" l="1"/>
  <c r="J127" i="4"/>
  <c r="K126" i="4"/>
  <c r="C62" i="7" l="1"/>
  <c r="J128" i="4"/>
  <c r="K127" i="4"/>
  <c r="C63" i="7" l="1"/>
  <c r="J129" i="4"/>
  <c r="K128" i="4"/>
  <c r="C64" i="7" l="1"/>
  <c r="J130" i="4"/>
  <c r="K129" i="4"/>
  <c r="C65" i="7" l="1"/>
  <c r="J131" i="4"/>
  <c r="K130" i="4"/>
  <c r="C66" i="7" l="1"/>
  <c r="J132" i="4"/>
  <c r="K131" i="4"/>
  <c r="C67" i="7" l="1"/>
  <c r="J133" i="4"/>
  <c r="K132" i="4"/>
  <c r="C68" i="7" l="1"/>
  <c r="J134" i="4"/>
  <c r="K133" i="4"/>
  <c r="C69" i="7" l="1"/>
  <c r="J135" i="4"/>
  <c r="K134" i="4"/>
  <c r="C70" i="7" l="1"/>
  <c r="J136" i="4"/>
  <c r="K135" i="4"/>
  <c r="C71" i="7" l="1"/>
  <c r="J137" i="4"/>
  <c r="K136" i="4"/>
  <c r="C72" i="7" l="1"/>
  <c r="J138" i="4"/>
  <c r="K137" i="4"/>
  <c r="C73" i="7" l="1"/>
  <c r="J139" i="4"/>
  <c r="K138" i="4"/>
  <c r="C74" i="7" l="1"/>
  <c r="J140" i="4"/>
  <c r="K139" i="4"/>
  <c r="C75" i="7" l="1"/>
  <c r="J141" i="4"/>
  <c r="K140" i="4"/>
  <c r="C76" i="7" l="1"/>
  <c r="J142" i="4"/>
  <c r="K141" i="4"/>
  <c r="C77" i="7" l="1"/>
  <c r="J143" i="4"/>
  <c r="K142" i="4"/>
  <c r="C78" i="7" l="1"/>
  <c r="J144" i="4"/>
  <c r="K143" i="4"/>
  <c r="C79" i="7" l="1"/>
  <c r="J145" i="4"/>
  <c r="K144" i="4"/>
  <c r="C80" i="7" l="1"/>
  <c r="J146" i="4"/>
  <c r="K145" i="4"/>
  <c r="C81" i="7" l="1"/>
  <c r="J147" i="4"/>
  <c r="K146" i="4"/>
  <c r="C82" i="7" l="1"/>
  <c r="J148" i="4"/>
  <c r="K147" i="4"/>
  <c r="C83" i="7" l="1"/>
  <c r="J149" i="4"/>
  <c r="K148" i="4"/>
  <c r="C84" i="7" l="1"/>
  <c r="J150" i="4"/>
  <c r="K149" i="4"/>
  <c r="C85" i="7" l="1"/>
  <c r="J151" i="4"/>
  <c r="K150" i="4"/>
  <c r="C86" i="7" l="1"/>
  <c r="J152" i="4"/>
  <c r="K151" i="4"/>
  <c r="C87" i="7" l="1"/>
  <c r="J153" i="4"/>
  <c r="K152" i="4"/>
  <c r="C88" i="7" l="1"/>
  <c r="J154" i="4"/>
  <c r="K153" i="4"/>
  <c r="C89" i="7" l="1"/>
  <c r="J155" i="4"/>
  <c r="K154" i="4"/>
  <c r="C90" i="7" l="1"/>
  <c r="J156" i="4"/>
  <c r="K155" i="4"/>
  <c r="C91" i="7" l="1"/>
  <c r="J157" i="4"/>
  <c r="K156" i="4"/>
  <c r="C92" i="7" l="1"/>
  <c r="J158" i="4"/>
  <c r="K157" i="4"/>
  <c r="C93" i="7" l="1"/>
  <c r="J159" i="4"/>
  <c r="K158" i="4"/>
  <c r="C94" i="7" l="1"/>
  <c r="J160" i="4"/>
  <c r="K159" i="4"/>
  <c r="C95" i="7" l="1"/>
  <c r="J161" i="4"/>
  <c r="K160" i="4"/>
  <c r="C96" i="7" l="1"/>
  <c r="J162" i="4"/>
  <c r="K161" i="4"/>
  <c r="C97" i="7" l="1"/>
  <c r="J163" i="4"/>
  <c r="K162" i="4"/>
  <c r="C98" i="7" l="1"/>
  <c r="J164" i="4"/>
  <c r="K163" i="4"/>
  <c r="C99" i="7" l="1"/>
  <c r="J165" i="4"/>
  <c r="K164" i="4"/>
  <c r="C100" i="7" l="1"/>
  <c r="J166" i="4"/>
  <c r="K165" i="4"/>
  <c r="C101" i="7" l="1"/>
  <c r="J167" i="4"/>
  <c r="K166" i="4"/>
  <c r="C102" i="7" l="1"/>
  <c r="J168" i="4"/>
  <c r="K167" i="4"/>
  <c r="C103" i="7" l="1"/>
  <c r="J169" i="4"/>
  <c r="K168" i="4"/>
  <c r="C104" i="7" l="1"/>
  <c r="J170" i="4"/>
  <c r="K170" i="4" s="1"/>
  <c r="K169" i="4"/>
</calcChain>
</file>

<file path=xl/sharedStrings.xml><?xml version="1.0" encoding="utf-8"?>
<sst xmlns="http://schemas.openxmlformats.org/spreadsheetml/2006/main" count="8759" uniqueCount="190">
  <si>
    <t>defect_id</t>
  </si>
  <si>
    <t>product_id</t>
  </si>
  <si>
    <t>defect_type</t>
  </si>
  <si>
    <t>defect_date</t>
  </si>
  <si>
    <t>defect_location</t>
  </si>
  <si>
    <t>severity</t>
  </si>
  <si>
    <t>inspection_method</t>
  </si>
  <si>
    <t>repair_cost</t>
  </si>
  <si>
    <t>Structural</t>
  </si>
  <si>
    <t>Component</t>
  </si>
  <si>
    <t>Minor</t>
  </si>
  <si>
    <t>Visual Inspection</t>
  </si>
  <si>
    <t>Functional</t>
  </si>
  <si>
    <t>4/26/2024</t>
  </si>
  <si>
    <t>2/15/2024</t>
  </si>
  <si>
    <t>Internal</t>
  </si>
  <si>
    <t>Automated Testing</t>
  </si>
  <si>
    <t>3/28/2024</t>
  </si>
  <si>
    <t>Critical</t>
  </si>
  <si>
    <t>Cosmetic</t>
  </si>
  <si>
    <t>Manual Testing</t>
  </si>
  <si>
    <t>Moderate</t>
  </si>
  <si>
    <t>5/23/2024</t>
  </si>
  <si>
    <t>1/15/2024</t>
  </si>
  <si>
    <t>1/26/2024</t>
  </si>
  <si>
    <t>4/28/2024</t>
  </si>
  <si>
    <t>Surface</t>
  </si>
  <si>
    <t>2/25/2024</t>
  </si>
  <si>
    <t>6/20/2024</t>
  </si>
  <si>
    <t>1/20/2024</t>
  </si>
  <si>
    <t>5/14/2024</t>
  </si>
  <si>
    <t>5/21/2024</t>
  </si>
  <si>
    <t>5/25/2024</t>
  </si>
  <si>
    <t>2/23/2024</t>
  </si>
  <si>
    <t>2/19/2024</t>
  </si>
  <si>
    <t>6/15/2024</t>
  </si>
  <si>
    <t>1/13/2024</t>
  </si>
  <si>
    <t>1/22/2024</t>
  </si>
  <si>
    <t>4/30/2024</t>
  </si>
  <si>
    <t>3/29/2024</t>
  </si>
  <si>
    <t>5/15/2024</t>
  </si>
  <si>
    <t>6/19/2024</t>
  </si>
  <si>
    <t>6/25/2024</t>
  </si>
  <si>
    <t>5/18/2024</t>
  </si>
  <si>
    <t>3/23/2024</t>
  </si>
  <si>
    <t>5/27/2024</t>
  </si>
  <si>
    <t>4/24/2024</t>
  </si>
  <si>
    <t>2/14/2024</t>
  </si>
  <si>
    <t>2/24/2024</t>
  </si>
  <si>
    <t>6/26/2024</t>
  </si>
  <si>
    <t>5/19/2024</t>
  </si>
  <si>
    <t>1/19/2024</t>
  </si>
  <si>
    <t>2/18/2024</t>
  </si>
  <si>
    <t>4/16/2024</t>
  </si>
  <si>
    <t>5/24/2024</t>
  </si>
  <si>
    <t>3/15/2024</t>
  </si>
  <si>
    <t>6/29/2024</t>
  </si>
  <si>
    <t>5/20/2024</t>
  </si>
  <si>
    <t>3/27/2024</t>
  </si>
  <si>
    <t>3/14/2024</t>
  </si>
  <si>
    <t>6/24/2024</t>
  </si>
  <si>
    <t>4/27/2024</t>
  </si>
  <si>
    <t>1/14/2024</t>
  </si>
  <si>
    <t>1/21/2024</t>
  </si>
  <si>
    <t>2/17/2024</t>
  </si>
  <si>
    <t>6/30/2024</t>
  </si>
  <si>
    <t>5/16/2024</t>
  </si>
  <si>
    <t>1/25/2024</t>
  </si>
  <si>
    <t>5/31/2024</t>
  </si>
  <si>
    <t>6/28/2024</t>
  </si>
  <si>
    <t>2/22/2024</t>
  </si>
  <si>
    <t>4/23/2024</t>
  </si>
  <si>
    <t>3/20/2024</t>
  </si>
  <si>
    <t>2/21/2024</t>
  </si>
  <si>
    <t>4/19/2024</t>
  </si>
  <si>
    <t>3/25/2024</t>
  </si>
  <si>
    <t>6/18/2024</t>
  </si>
  <si>
    <t>1/16/2024</t>
  </si>
  <si>
    <t>1/29/2024</t>
  </si>
  <si>
    <t>3/22/2024</t>
  </si>
  <si>
    <t>1/27/2024</t>
  </si>
  <si>
    <t>1/24/2024</t>
  </si>
  <si>
    <t>5/17/2024</t>
  </si>
  <si>
    <t>1/30/2024</t>
  </si>
  <si>
    <t>4/20/2024</t>
  </si>
  <si>
    <t>5/29/2024</t>
  </si>
  <si>
    <t>1/17/2024</t>
  </si>
  <si>
    <t>2/29/2024</t>
  </si>
  <si>
    <t>6/22/2024</t>
  </si>
  <si>
    <t>3/21/2024</t>
  </si>
  <si>
    <t>6/21/2024</t>
  </si>
  <si>
    <t>5/28/2024</t>
  </si>
  <si>
    <t>4/14/2024</t>
  </si>
  <si>
    <t>4/22/2024</t>
  </si>
  <si>
    <t>1/31/2024</t>
  </si>
  <si>
    <t>6/23/2024</t>
  </si>
  <si>
    <t>3/24/2024</t>
  </si>
  <si>
    <t>1/28/2024</t>
  </si>
  <si>
    <t>3/17/2024</t>
  </si>
  <si>
    <t>3/19/2024</t>
  </si>
  <si>
    <t>3/30/2024</t>
  </si>
  <si>
    <t>5/22/2024</t>
  </si>
  <si>
    <t>5/26/2024</t>
  </si>
  <si>
    <t>2/27/2024</t>
  </si>
  <si>
    <t>3/31/2024</t>
  </si>
  <si>
    <t>1/23/2024</t>
  </si>
  <si>
    <t>4/25/2024</t>
  </si>
  <si>
    <t>2/13/2024</t>
  </si>
  <si>
    <t>5/30/2024</t>
  </si>
  <si>
    <t>4/15/2024</t>
  </si>
  <si>
    <t>4/29/2024</t>
  </si>
  <si>
    <t>4/13/2024</t>
  </si>
  <si>
    <t>6/14/2024</t>
  </si>
  <si>
    <t>4/18/2024</t>
  </si>
  <si>
    <t>3/13/2024</t>
  </si>
  <si>
    <t>6/13/2024</t>
  </si>
  <si>
    <t>2/20/2024</t>
  </si>
  <si>
    <t>2/28/2024</t>
  </si>
  <si>
    <t>3/26/2024</t>
  </si>
  <si>
    <t>6/27/2024</t>
  </si>
  <si>
    <t>5/13/2024</t>
  </si>
  <si>
    <t>2/26/2024</t>
  </si>
  <si>
    <t>3/16/2024</t>
  </si>
  <si>
    <t>1/18/2024</t>
  </si>
  <si>
    <t>6/16/2024</t>
  </si>
  <si>
    <t>4/21/2024</t>
  </si>
  <si>
    <t>6/17/2024</t>
  </si>
  <si>
    <t>3/18/2024</t>
  </si>
  <si>
    <t>2/16/2024</t>
  </si>
  <si>
    <t>4/17/2024</t>
  </si>
  <si>
    <t xml:space="preserve">defect_type: </t>
  </si>
  <si>
    <t xml:space="preserve"> Unique identifier for each defect. </t>
  </si>
  <si>
    <t xml:space="preserve">product_id:         </t>
  </si>
  <si>
    <t>Type or category of the defect (e.g., cosmetic, functional, structural)</t>
  </si>
  <si>
    <t>Location within the product where the defect was found (e.g., surface, component).</t>
  </si>
  <si>
    <t>Severity level of the defect (e.g., minor, moderate, critical).</t>
  </si>
  <si>
    <t>Method used to detect the defect (e.g., visual inspection, automated testing).</t>
  </si>
  <si>
    <t xml:space="preserve"> Date when the defect was detected.</t>
  </si>
  <si>
    <t xml:space="preserve"> Cost incurred to repair the defect (in local currency).</t>
  </si>
  <si>
    <t xml:space="preserve">defect_location: </t>
  </si>
  <si>
    <t xml:space="preserve">defect_date: </t>
  </si>
  <si>
    <t xml:space="preserve">severity: </t>
  </si>
  <si>
    <t>inspection_method:</t>
  </si>
  <si>
    <t xml:space="preserve">repair_cost:  </t>
  </si>
  <si>
    <t xml:space="preserve">  Identifier for the product associated with the defect.</t>
  </si>
  <si>
    <t>Row Labels</t>
  </si>
  <si>
    <t>Grand Total</t>
  </si>
  <si>
    <t>(All)</t>
  </si>
  <si>
    <t>Sum of defect_id</t>
  </si>
  <si>
    <t>Count of defect_type</t>
  </si>
  <si>
    <t xml:space="preserve">Defect type that occurred most : </t>
  </si>
  <si>
    <t xml:space="preserve">Which location are defect prone : </t>
  </si>
  <si>
    <t>Column Labels</t>
  </si>
  <si>
    <t xml:space="preserve">which product id has more defect / and also </t>
  </si>
  <si>
    <t xml:space="preserve">based on severity </t>
  </si>
  <si>
    <t xml:space="preserve">DEFFECT PATTERNS </t>
  </si>
  <si>
    <t xml:space="preserve">Product with highest cummulative repair cost </t>
  </si>
  <si>
    <t>(blank)</t>
  </si>
  <si>
    <t>Sum of repair_cost</t>
  </si>
  <si>
    <t>COST ANALYSIS :</t>
  </si>
  <si>
    <t>Count of severity</t>
  </si>
  <si>
    <t xml:space="preserve">Total cost by inspection </t>
  </si>
  <si>
    <t>Total cost by month</t>
  </si>
  <si>
    <t xml:space="preserve">Month </t>
  </si>
  <si>
    <t>Apr/2024</t>
  </si>
  <si>
    <t>Feb/2024</t>
  </si>
  <si>
    <t>Jan/2024</t>
  </si>
  <si>
    <t>Jun/2024</t>
  </si>
  <si>
    <t>Mar/2024</t>
  </si>
  <si>
    <t>May/2024</t>
  </si>
  <si>
    <t xml:space="preserve">TIME TREND </t>
  </si>
  <si>
    <t xml:space="preserve">Sum of defect id by month </t>
  </si>
  <si>
    <t xml:space="preserve">Defect type spike based on month </t>
  </si>
  <si>
    <r>
      <rPr>
        <b/>
        <sz val="11"/>
        <color theme="1"/>
        <rFont val="Aptos Narrow"/>
        <family val="2"/>
        <scheme val="minor"/>
      </rPr>
      <t>critical defect occurance based on month</t>
    </r>
    <r>
      <rPr>
        <sz val="11"/>
        <color theme="1"/>
        <rFont val="Aptos Narrow"/>
        <family val="2"/>
        <scheme val="minor"/>
      </rPr>
      <t xml:space="preserve">  : </t>
    </r>
  </si>
  <si>
    <t xml:space="preserve">Inspection method effectiveness ; </t>
  </si>
  <si>
    <r>
      <rPr>
        <b/>
        <sz val="22"/>
        <color theme="1"/>
        <rFont val="Aptos Narrow"/>
        <family val="2"/>
        <scheme val="minor"/>
      </rPr>
      <t>PRODUCT PERFORMANCE</t>
    </r>
    <r>
      <rPr>
        <sz val="22"/>
        <color theme="1"/>
        <rFont val="Aptos Narrow"/>
        <family val="2"/>
        <scheme val="minor"/>
      </rPr>
      <t xml:space="preserve"> </t>
    </r>
  </si>
  <si>
    <t xml:space="preserve">which inspection is capable of dectecting a critical defect better, </t>
  </si>
  <si>
    <t xml:space="preserve">inspection method with the lowest repair cost </t>
  </si>
  <si>
    <t>Count of defect_id</t>
  </si>
  <si>
    <t>Pareto/80-20 Analysis</t>
  </si>
  <si>
    <t xml:space="preserve">cummulative total </t>
  </si>
  <si>
    <t>cummulative percentage</t>
  </si>
  <si>
    <t>product id</t>
  </si>
  <si>
    <t xml:space="preserve">defect type </t>
  </si>
  <si>
    <t>month</t>
  </si>
  <si>
    <t xml:space="preserve">Defect type </t>
  </si>
  <si>
    <t xml:space="preserve">product id </t>
  </si>
  <si>
    <t>cum. Total</t>
  </si>
  <si>
    <t>cum. Percentage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</si>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</sst>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C4043"/>
      <name val="Inherit"/>
    </font>
    <font>
      <sz val="11"/>
      <color theme="1"/>
      <name val="Amasis MT Pro Medium"/>
      <family val="1"/>
    </font>
    <font>
      <sz val="8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left" vertical="center" wrapText="1" indent="1"/>
    </xf>
    <xf numFmtId="0" fontId="19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21" fillId="0" borderId="0" xfId="0" applyFont="1"/>
    <xf numFmtId="0" fontId="16" fillId="0" borderId="0" xfId="0" applyFont="1" applyAlignment="1">
      <alignment horizontal="left"/>
    </xf>
    <xf numFmtId="0" fontId="22" fillId="0" borderId="0" xfId="0" applyFont="1"/>
    <xf numFmtId="0" fontId="23" fillId="0" borderId="0" xfId="0" applyFont="1" applyAlignment="1">
      <alignment horizontal="left"/>
    </xf>
    <xf numFmtId="0" fontId="24" fillId="0" borderId="0" xfId="0" applyFont="1"/>
    <xf numFmtId="0" fontId="25" fillId="0" borderId="0" xfId="0" applyFont="1" applyAlignment="1">
      <alignment horizontal="left"/>
    </xf>
    <xf numFmtId="0" fontId="23" fillId="0" borderId="0" xfId="0" applyFont="1"/>
    <xf numFmtId="10" fontId="0" fillId="0" borderId="0" xfId="0" applyNumberFormat="1"/>
    <xf numFmtId="2" fontId="0" fillId="0" borderId="0" xfId="0" applyNumberFormat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4.967002430552" createdVersion="8" refreshedVersion="8" minRefreshableVersion="3" recordCount="1000" xr:uid="{4259CE3A-50DC-41E0-8E9A-FE7632322886}">
  <cacheSource type="worksheet">
    <worksheetSource ref="A1:H1001" sheet="pivot table 1"/>
  </cacheSource>
  <cacheFields count="8">
    <cacheField name="defect_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product_id" numFmtId="0">
      <sharedItems containsSemiMixedTypes="0" containsString="0" containsNumber="1" containsInteger="1" minValue="1" maxValue="100"/>
    </cacheField>
    <cacheField name="defect_type" numFmtId="0">
      <sharedItems count="3">
        <s v="Structural"/>
        <s v="Functional"/>
        <s v="Cosmetic"/>
      </sharedItems>
    </cacheField>
    <cacheField name="defect_date" numFmtId="14">
      <sharedItems containsSemiMixedTypes="0" containsNonDate="0" containsDate="1" containsString="0" minDate="2024-01-01T00:00:00" maxDate="2024-07-01T00:00:00" count="182">
        <d v="2024-06-06T00:00:00"/>
        <d v="2024-04-26T00:00:00"/>
        <d v="2024-02-15T00:00:00"/>
        <d v="2024-03-28T00:00:00"/>
        <d v="2024-05-11T00:00:00"/>
        <d v="2024-05-23T00:00:00"/>
        <d v="2024-01-15T00:00:00"/>
        <d v="2024-01-26T00:00:00"/>
        <d v="2024-06-05T00:00:00"/>
        <d v="2024-04-28T00:00:00"/>
        <d v="2024-02-25T00:00:00"/>
        <d v="2024-06-20T00:00:00"/>
        <d v="2024-05-08T00:00:00"/>
        <d v="2024-05-03T00:00:00"/>
        <d v="2024-01-20T00:00:00"/>
        <d v="2024-05-14T00:00:00"/>
        <d v="2024-05-21T00:00:00"/>
        <d v="2024-05-25T00:00:00"/>
        <d v="2024-03-06T00:00:00"/>
        <d v="2024-05-06T00:00:00"/>
        <d v="2024-02-23T00:00:00"/>
        <d v="2024-02-19T00:00:00"/>
        <d v="2024-06-15T00:00:00"/>
        <d v="2024-01-02T00:00:00"/>
        <d v="2024-01-13T00:00:00"/>
        <d v="2024-01-22T00:00:00"/>
        <d v="2024-04-30T00:00:00"/>
        <d v="2024-03-29T00:00:00"/>
        <d v="2024-05-15T00:00:00"/>
        <d v="2024-06-19T00:00:00"/>
        <d v="2024-04-04T00:00:00"/>
        <d v="2024-06-04T00:00:00"/>
        <d v="2024-06-08T00:00:00"/>
        <d v="2024-06-25T00:00:00"/>
        <d v="2024-01-06T00:00:00"/>
        <d v="2024-03-11T00:00:00"/>
        <d v="2024-05-18T00:00:00"/>
        <d v="2024-03-23T00:00:00"/>
        <d v="2024-05-27T00:00:00"/>
        <d v="2024-04-24T00:00:00"/>
        <d v="2024-02-14T00:00:00"/>
        <d v="2024-01-03T00:00:00"/>
        <d v="2024-02-24T00:00:00"/>
        <d v="2024-06-26T00:00:00"/>
        <d v="2024-05-19T00:00:00"/>
        <d v="2024-01-19T00:00:00"/>
        <d v="2024-03-10T00:00:00"/>
        <d v="2024-02-18T00:00:00"/>
        <d v="2024-06-11T00:00:00"/>
        <d v="2024-03-08T00:00:00"/>
        <d v="2024-01-11T00:00:00"/>
        <d v="2024-04-16T00:00:00"/>
        <d v="2024-05-24T00:00:00"/>
        <d v="2024-03-15T00:00:00"/>
        <d v="2024-03-05T00:00:00"/>
        <d v="2024-06-29T00:00:00"/>
        <d v="2024-05-20T00:00:00"/>
        <d v="2024-03-27T00:00:00"/>
        <d v="2024-02-06T00:00:00"/>
        <d v="2024-03-14T00:00:00"/>
        <d v="2024-04-02T00:00:00"/>
        <d v="2024-04-11T00:00:00"/>
        <d v="2024-06-24T00:00:00"/>
        <d v="2024-04-27T00:00:00"/>
        <d v="2024-01-14T00:00:00"/>
        <d v="2024-01-21T00:00:00"/>
        <d v="2024-02-09T00:00:00"/>
        <d v="2024-05-01T00:00:00"/>
        <d v="2024-02-17T00:00:00"/>
        <d v="2024-03-07T00:00:00"/>
        <d v="2024-06-30T00:00:00"/>
        <d v="2024-04-01T00:00:00"/>
        <d v="2024-02-02T00:00:00"/>
        <d v="2024-05-16T00:00:00"/>
        <d v="2024-04-08T00:00:00"/>
        <d v="2024-01-25T00:00:00"/>
        <d v="2024-05-31T00:00:00"/>
        <d v="2024-06-28T00:00:00"/>
        <d v="2024-02-22T00:00:00"/>
        <d v="2024-01-12T00:00:00"/>
        <d v="2024-01-09T00:00:00"/>
        <d v="2024-04-10T00:00:00"/>
        <d v="2024-06-09T00:00:00"/>
        <d v="2024-02-04T00:00:00"/>
        <d v="2024-02-01T00:00:00"/>
        <d v="2024-03-02T00:00:00"/>
        <d v="2024-04-06T00:00:00"/>
        <d v="2024-04-23T00:00:00"/>
        <d v="2024-03-20T00:00:00"/>
        <d v="2024-02-03T00:00:00"/>
        <d v="2024-02-21T00:00:00"/>
        <d v="2024-04-19T00:00:00"/>
        <d v="2024-03-25T00:00:00"/>
        <d v="2024-06-18T00:00:00"/>
        <d v="2024-01-16T00:00:00"/>
        <d v="2024-04-05T00:00:00"/>
        <d v="2024-01-29T00:00:00"/>
        <d v="2024-03-22T00:00:00"/>
        <d v="2024-06-07T00:00:00"/>
        <d v="2024-01-27T00:00:00"/>
        <d v="2024-01-24T00:00:00"/>
        <d v="2024-05-07T00:00:00"/>
        <d v="2024-05-17T00:00:00"/>
        <d v="2024-01-30T00:00:00"/>
        <d v="2024-04-20T00:00:00"/>
        <d v="2024-06-03T00:00:00"/>
        <d v="2024-05-29T00:00:00"/>
        <d v="2024-03-09T00:00:00"/>
        <d v="2024-01-17T00:00:00"/>
        <d v="2024-01-07T00:00:00"/>
        <d v="2024-02-29T00:00:00"/>
        <d v="2024-06-02T00:00:00"/>
        <d v="2024-06-22T00:00:00"/>
        <d v="2024-03-21T00:00:00"/>
        <d v="2024-03-03T00:00:00"/>
        <d v="2024-06-21T00:00:00"/>
        <d v="2024-05-28T00:00:00"/>
        <d v="2024-04-14T00:00:00"/>
        <d v="2024-01-04T00:00:00"/>
        <d v="2024-04-22T00:00:00"/>
        <d v="2024-01-31T00:00:00"/>
        <d v="2024-03-12T00:00:00"/>
        <d v="2024-05-10T00:00:00"/>
        <d v="2024-02-12T00:00:00"/>
        <d v="2024-06-23T00:00:00"/>
        <d v="2024-03-24T00:00:00"/>
        <d v="2024-01-28T00:00:00"/>
        <d v="2024-03-17T00:00:00"/>
        <d v="2024-05-05T00:00:00"/>
        <d v="2024-05-04T00:00:00"/>
        <d v="2024-03-19T00:00:00"/>
        <d v="2024-02-08T00:00:00"/>
        <d v="2024-03-30T00:00:00"/>
        <d v="2024-05-02T00:00:00"/>
        <d v="2024-01-05T00:00:00"/>
        <d v="2024-04-09T00:00:00"/>
        <d v="2024-02-05T00:00:00"/>
        <d v="2024-05-22T00:00:00"/>
        <d v="2024-05-26T00:00:00"/>
        <d v="2024-02-07T00:00:00"/>
        <d v="2024-02-27T00:00:00"/>
        <d v="2024-03-31T00:00:00"/>
        <d v="2024-01-23T00:00:00"/>
        <d v="2024-04-25T00:00:00"/>
        <d v="2024-06-12T00:00:00"/>
        <d v="2024-02-13T00:00:00"/>
        <d v="2024-01-08T00:00:00"/>
        <d v="2024-05-30T00:00:00"/>
        <d v="2024-04-15T00:00:00"/>
        <d v="2024-04-29T00:00:00"/>
        <d v="2024-03-01T00:00:00"/>
        <d v="2024-04-13T00:00:00"/>
        <d v="2024-06-14T00:00:00"/>
        <d v="2024-04-18T00:00:00"/>
        <d v="2024-03-13T00:00:00"/>
        <d v="2024-06-13T00:00:00"/>
        <d v="2024-01-10T00:00:00"/>
        <d v="2024-02-20T00:00:00"/>
        <d v="2024-04-07T00:00:00"/>
        <d v="2024-04-12T00:00:00"/>
        <d v="2024-05-09T00:00:00"/>
        <d v="2024-02-28T00:00:00"/>
        <d v="2024-03-26T00:00:00"/>
        <d v="2024-06-27T00:00:00"/>
        <d v="2024-05-13T00:00:00"/>
        <d v="2024-05-12T00:00:00"/>
        <d v="2024-03-04T00:00:00"/>
        <d v="2024-02-26T00:00:00"/>
        <d v="2024-03-16T00:00:00"/>
        <d v="2024-01-18T00:00:00"/>
        <d v="2024-06-16T00:00:00"/>
        <d v="2024-02-10T00:00:00"/>
        <d v="2024-04-21T00:00:00"/>
        <d v="2024-06-17T00:00:00"/>
        <d v="2024-06-10T00:00:00"/>
        <d v="2024-04-03T00:00:00"/>
        <d v="2024-03-18T00:00:00"/>
        <d v="2024-02-11T00:00:00"/>
        <d v="2024-06-01T00:00:00"/>
        <d v="2024-02-16T00:00:00"/>
        <d v="2024-01-01T00:00:00"/>
        <d v="2024-04-17T00:00:00"/>
      </sharedItems>
    </cacheField>
    <cacheField name="defect_location" numFmtId="0">
      <sharedItems count="3">
        <s v="Component"/>
        <s v="Internal"/>
        <s v="Surface"/>
      </sharedItems>
    </cacheField>
    <cacheField name="severity" numFmtId="0">
      <sharedItems count="3">
        <s v="Minor"/>
        <s v="Critical"/>
        <s v="Moderate"/>
      </sharedItems>
    </cacheField>
    <cacheField name="inspection_method" numFmtId="0">
      <sharedItems count="3">
        <s v="Visual Inspection"/>
        <s v="Automated Testing"/>
        <s v="Manual Testing"/>
      </sharedItems>
    </cacheField>
    <cacheField name="repair_cost" numFmtId="0">
      <sharedItems containsSemiMixedTypes="0" containsString="0" containsNumber="1" minValue="10.220000000000001" maxValue="999.64" count="996">
        <n v="245.47"/>
        <n v="26.87"/>
        <n v="835.81"/>
        <n v="444.47"/>
        <n v="823.64"/>
        <n v="788.11"/>
        <n v="33.68"/>
        <n v="65.56"/>
        <n v="848.61"/>
        <n v="478.48"/>
        <n v="217.96"/>
        <n v="485.02"/>
        <n v="714.63"/>
        <n v="603.94000000000005"/>
        <n v="189.55"/>
        <n v="458.79"/>
        <n v="509.35"/>
        <n v="538.99"/>
        <n v="34.93"/>
        <n v="557.11"/>
        <n v="831.43"/>
        <n v="504.9"/>
        <n v="349.23"/>
        <n v="560.39"/>
        <n v="629.71"/>
        <n v="975.44"/>
        <n v="737.54"/>
        <n v="592.87"/>
        <n v="99.82"/>
        <n v="106.34"/>
        <n v="352.58"/>
        <n v="734.12"/>
        <n v="953.54"/>
        <n v="753.89"/>
        <n v="955.91"/>
        <n v="776.91"/>
        <n v="607.96"/>
        <n v="107.7"/>
        <n v="27.24"/>
        <n v="370.83"/>
        <n v="526.08000000000004"/>
        <n v="144.38"/>
        <n v="534.33000000000004"/>
        <n v="456.8"/>
        <n v="215.01"/>
        <n v="824.3"/>
        <n v="769.28"/>
        <n v="160.25"/>
        <n v="386.17"/>
        <n v="572.08000000000004"/>
        <n v="433.85"/>
        <n v="338.1"/>
        <n v="93.13"/>
        <n v="308.37"/>
        <n v="396.58"/>
        <n v="957.6"/>
        <n v="205.19"/>
        <n v="300.27"/>
        <n v="671.22"/>
        <n v="395.1"/>
        <n v="675.89"/>
        <n v="523.02"/>
        <n v="337.5"/>
        <n v="830.89"/>
        <n v="84.97"/>
        <n v="771.96"/>
        <n v="46.43"/>
        <n v="31.91"/>
        <n v="845.8"/>
        <n v="729.55"/>
        <n v="187.03"/>
        <n v="470.35"/>
        <n v="662.35"/>
        <n v="509.97"/>
        <n v="352.33"/>
        <n v="228.22"/>
        <n v="632.45000000000005"/>
        <n v="975.87"/>
        <n v="967.14"/>
        <n v="992.69"/>
        <n v="827.74"/>
        <n v="270.97000000000003"/>
        <n v="712.98"/>
        <n v="556.04999999999995"/>
        <n v="200.11"/>
        <n v="660.05"/>
        <n v="220.96"/>
        <n v="776.54"/>
        <n v="920.26"/>
        <n v="492.22"/>
        <n v="513.45000000000005"/>
        <n v="286.27999999999997"/>
        <n v="698.89"/>
        <n v="555.25"/>
        <n v="465.92"/>
        <n v="732.13"/>
        <n v="582.46"/>
        <n v="647.70000000000005"/>
        <n v="536.57000000000005"/>
        <n v="673.85"/>
        <n v="871.1"/>
        <n v="973.66"/>
        <n v="787.42"/>
        <n v="338.48"/>
        <n v="922.07"/>
        <n v="137.41"/>
        <n v="17.89"/>
        <n v="210.3"/>
        <n v="978.5"/>
        <n v="381.15"/>
        <n v="302.42"/>
        <n v="813.46"/>
        <n v="998.27"/>
        <n v="498.47"/>
        <n v="362.23"/>
        <n v="194.79"/>
        <n v="677.65"/>
        <n v="310.8"/>
        <n v="717.21"/>
        <n v="641.58000000000004"/>
        <n v="520.84"/>
        <n v="271.18"/>
        <n v="657.81"/>
        <n v="620.66"/>
        <n v="533.03"/>
        <n v="21.77"/>
        <n v="302.22000000000003"/>
        <n v="895.38"/>
        <n v="241.61"/>
        <n v="878.46"/>
        <n v="268.08"/>
        <n v="492.32"/>
        <n v="379.78"/>
        <n v="498.71"/>
        <n v="379.01"/>
        <n v="79.52"/>
        <n v="602.25"/>
        <n v="575.71"/>
        <n v="760.33"/>
        <n v="955.54"/>
        <n v="679.88"/>
        <n v="71.91"/>
        <n v="916.79"/>
        <n v="558.34"/>
        <n v="23.02"/>
        <n v="346.23"/>
        <n v="926.31"/>
        <n v="783.88"/>
        <n v="747.18"/>
        <n v="415.84"/>
        <n v="502.15"/>
        <n v="94.7"/>
        <n v="426.04"/>
        <n v="380.52"/>
        <n v="935.64"/>
        <n v="595.9"/>
        <n v="788.22"/>
        <n v="465.74"/>
        <n v="661.8"/>
        <n v="532.77"/>
        <n v="612.03"/>
        <n v="614.11"/>
        <n v="238.39"/>
        <n v="986.51"/>
        <n v="796.76"/>
        <n v="105.27"/>
        <n v="950.97"/>
        <n v="517.41"/>
        <n v="789.62"/>
        <n v="942.03"/>
        <n v="352.05"/>
        <n v="10.220000000000001"/>
        <n v="932.23"/>
        <n v="715.22"/>
        <n v="999.64"/>
        <n v="952.49"/>
        <n v="174.76"/>
        <n v="755.15"/>
        <n v="532.6"/>
        <n v="854.25"/>
        <n v="383.83"/>
        <n v="80"/>
        <n v="970.31"/>
        <n v="517.63"/>
        <n v="81.33"/>
        <n v="540.91999999999996"/>
        <n v="280.77"/>
        <n v="87.28"/>
        <n v="306.56"/>
        <n v="86.46"/>
        <n v="13.03"/>
        <n v="525.07000000000005"/>
        <n v="219.71"/>
        <n v="192.21"/>
        <n v="924.13"/>
        <n v="65.23"/>
        <n v="481.7"/>
        <n v="561.27"/>
        <n v="169.54"/>
        <n v="629.38"/>
        <n v="783.36"/>
        <n v="102.88"/>
        <n v="269.04000000000002"/>
        <n v="257.33"/>
        <n v="824.37"/>
        <n v="303.58999999999997"/>
        <n v="793.3"/>
        <n v="929.05"/>
        <n v="473.36"/>
        <n v="478.17"/>
        <n v="430.49"/>
        <n v="460.93"/>
        <n v="917.3"/>
        <n v="520.21"/>
        <n v="575.58000000000004"/>
        <n v="296.41000000000003"/>
        <n v="622.98"/>
        <n v="484.08"/>
        <n v="479.31"/>
        <n v="624.22"/>
        <n v="777.18"/>
        <n v="842.93"/>
        <n v="974.99"/>
        <n v="989.81"/>
        <n v="484.04"/>
        <n v="38.39"/>
        <n v="334.53"/>
        <n v="580.74"/>
        <n v="638.28"/>
        <n v="727.86"/>
        <n v="117.74"/>
        <n v="891.94"/>
        <n v="440.58"/>
        <n v="310.95999999999998"/>
        <n v="430.74"/>
        <n v="47.99"/>
        <n v="728.13"/>
        <n v="890.35"/>
        <n v="356.55"/>
        <n v="271.51"/>
        <n v="288.31"/>
        <n v="663.49"/>
        <n v="711.77"/>
        <n v="822.12"/>
        <n v="889.52"/>
        <n v="471.55"/>
        <n v="136.69"/>
        <n v="148.61000000000001"/>
        <n v="768.39"/>
        <n v="545.52"/>
        <n v="978.58"/>
        <n v="62.59"/>
        <n v="146.53"/>
        <n v="168.3"/>
        <n v="225.2"/>
        <n v="875.37"/>
        <n v="772.77"/>
        <n v="617.12"/>
        <n v="900.61"/>
        <n v="159.25"/>
        <n v="16.62"/>
        <n v="906.96"/>
        <n v="446.61"/>
        <n v="406.06"/>
        <n v="286.25"/>
        <n v="319.60000000000002"/>
        <n v="798.16"/>
        <n v="674.23"/>
        <n v="940.48"/>
        <n v="42.63"/>
        <n v="433.02"/>
        <n v="606.91"/>
        <n v="129.41"/>
        <n v="444.1"/>
        <n v="634.26"/>
        <n v="672.89"/>
        <n v="557.66999999999996"/>
        <n v="272.52999999999997"/>
        <n v="503.24"/>
        <n v="611.37"/>
        <n v="501.54"/>
        <n v="290.23"/>
        <n v="195.84"/>
        <n v="88.05"/>
        <n v="97.99"/>
        <n v="349.24"/>
        <n v="421.51"/>
        <n v="422.77"/>
        <n v="925.03"/>
        <n v="319.58"/>
        <n v="556.41999999999996"/>
        <n v="818.54"/>
        <n v="320.62"/>
        <n v="178.82"/>
        <n v="237.65"/>
        <n v="658.16"/>
        <n v="326.58"/>
        <n v="301.61"/>
        <n v="357.56"/>
        <n v="358.21"/>
        <n v="89.91"/>
        <n v="18.420000000000002"/>
        <n v="294.31"/>
        <n v="865.96"/>
        <n v="578.28"/>
        <n v="495.87"/>
        <n v="728.39"/>
        <n v="949.72"/>
        <n v="56.12"/>
        <n v="56.35"/>
        <n v="651.35"/>
        <n v="471.27"/>
        <n v="732.6"/>
        <n v="865.3"/>
        <n v="49.2"/>
        <n v="567.72"/>
        <n v="490.53"/>
        <n v="11.38"/>
        <n v="409.72"/>
        <n v="515.07000000000005"/>
        <n v="42.44"/>
        <n v="883.58"/>
        <n v="624.98"/>
        <n v="195.74"/>
        <n v="241.22"/>
        <n v="441.18"/>
        <n v="274.08999999999997"/>
        <n v="268.52"/>
        <n v="170.44"/>
        <n v="386.43"/>
        <n v="970.98"/>
        <n v="751.73"/>
        <n v="285.85000000000002"/>
        <n v="478.75"/>
        <n v="884.79"/>
        <n v="44.73"/>
        <n v="952.79"/>
        <n v="959.59"/>
        <n v="312.25"/>
        <n v="658.47"/>
        <n v="243.25"/>
        <n v="199.65"/>
        <n v="471.43"/>
        <n v="756.85"/>
        <n v="369.06"/>
        <n v="326.19"/>
        <n v="22.07"/>
        <n v="825.33"/>
        <n v="697.77"/>
        <n v="417.1"/>
        <n v="74.81"/>
        <n v="104.54"/>
        <n v="480.07"/>
        <n v="842.37"/>
        <n v="422.03"/>
        <n v="161.41"/>
        <n v="361.26"/>
        <n v="999.25"/>
        <n v="495.53"/>
        <n v="40.89"/>
        <n v="444.31"/>
        <n v="739.69"/>
        <n v="577.64"/>
        <n v="230.65"/>
        <n v="692.1"/>
        <n v="378.29"/>
        <n v="584.9"/>
        <n v="39.01"/>
        <n v="899.07"/>
        <n v="96.04"/>
        <n v="269.99"/>
        <n v="996.49"/>
        <n v="573.22"/>
        <n v="694.03"/>
        <n v="963.03"/>
        <n v="118.46"/>
        <n v="773.47"/>
        <n v="180.86"/>
        <n v="18.61"/>
        <n v="176.96"/>
        <n v="32.44"/>
        <n v="351.27"/>
        <n v="303.16000000000003"/>
        <n v="404.15"/>
        <n v="800.76"/>
        <n v="321.45"/>
        <n v="510.38"/>
        <n v="883.92"/>
        <n v="918.87"/>
        <n v="564.46"/>
        <n v="889.4"/>
        <n v="197.87"/>
        <n v="786.6"/>
        <n v="740.36"/>
        <n v="667.24"/>
        <n v="77.72"/>
        <n v="106.59"/>
        <n v="529.16"/>
        <n v="94.34"/>
        <n v="97.53"/>
        <n v="500.88"/>
        <n v="477.42"/>
        <n v="810.57"/>
        <n v="945.16"/>
        <n v="325.31"/>
        <n v="810.44"/>
        <n v="623.76"/>
        <n v="375.28"/>
        <n v="474.48"/>
        <n v="636.39"/>
        <n v="957.36"/>
        <n v="66.98"/>
        <n v="608.64"/>
        <n v="75.930000000000007"/>
        <n v="477.58"/>
        <n v="252.11"/>
        <n v="987.71"/>
        <n v="464.04"/>
        <n v="694.29"/>
        <n v="829.49"/>
        <n v="466.04"/>
        <n v="101.05"/>
        <n v="748.29"/>
        <n v="438.54"/>
        <n v="834.57"/>
        <n v="655.02"/>
        <n v="342.61"/>
        <n v="539.5"/>
        <n v="487.41"/>
        <n v="212.86"/>
        <n v="873.59"/>
        <n v="389.21"/>
        <n v="34.479999999999997"/>
        <n v="235.97"/>
        <n v="575.15"/>
        <n v="182.54"/>
        <n v="752.8"/>
        <n v="214.33"/>
        <n v="716.26"/>
        <n v="608.46"/>
        <n v="255.47"/>
        <n v="914.32"/>
        <n v="519.15"/>
        <n v="816.09"/>
        <n v="481.11"/>
        <n v="780.05"/>
        <n v="750.51"/>
        <n v="908.59"/>
        <n v="705.47"/>
        <n v="406.28"/>
        <n v="295.41000000000003"/>
        <n v="903.36"/>
        <n v="803.65"/>
        <n v="359.69"/>
        <n v="699.69"/>
        <n v="281.81"/>
        <n v="896.04"/>
        <n v="587.69000000000005"/>
        <n v="623.52"/>
        <n v="668.05"/>
        <n v="571.02"/>
        <n v="918.39"/>
        <n v="669.62"/>
        <n v="581.01"/>
        <n v="899.45"/>
        <n v="764.59"/>
        <n v="150.16"/>
        <n v="791.72"/>
        <n v="15.1"/>
        <n v="466.92"/>
        <n v="833.02"/>
        <n v="907.98"/>
        <n v="652.85"/>
        <n v="618.88"/>
        <n v="140.36000000000001"/>
        <n v="683.68"/>
        <n v="613.47"/>
        <n v="895.11"/>
        <n v="515.94000000000005"/>
        <n v="293.08999999999997"/>
        <n v="689.42"/>
        <n v="148.53"/>
        <n v="933.3"/>
        <n v="336.75"/>
        <n v="223.73"/>
        <n v="236.47"/>
        <n v="647.11"/>
        <n v="268.57"/>
        <n v="405.89"/>
        <n v="643.98"/>
        <n v="183.11"/>
        <n v="878.64"/>
        <n v="702.09"/>
        <n v="823.59"/>
        <n v="294.56"/>
        <n v="533.14"/>
        <n v="975.5"/>
        <n v="707.21"/>
        <n v="775.91"/>
        <n v="617.36"/>
        <n v="922.52"/>
        <n v="81.91"/>
        <n v="40.19"/>
        <n v="943.79"/>
        <n v="411.9"/>
        <n v="759.53"/>
        <n v="368.11"/>
        <n v="27.9"/>
        <n v="670.09"/>
        <n v="790.76"/>
        <n v="769.88"/>
        <n v="262.60000000000002"/>
        <n v="520.44000000000005"/>
        <n v="624.75"/>
        <n v="496.27"/>
        <n v="368.54"/>
        <n v="942.94"/>
        <n v="449.63"/>
        <n v="117.82"/>
        <n v="300.05"/>
        <n v="975.1"/>
        <n v="74.36"/>
        <n v="924.05"/>
        <n v="132.38999999999999"/>
        <n v="893.77"/>
        <n v="142.63999999999999"/>
        <n v="368.94"/>
        <n v="997.03"/>
        <n v="496.1"/>
        <n v="798.12"/>
        <n v="572.74"/>
        <n v="53.77"/>
        <n v="369.83"/>
        <n v="398.17"/>
        <n v="825.57"/>
        <n v="201.88"/>
        <n v="47.47"/>
        <n v="856.33"/>
        <n v="497.65"/>
        <n v="908.53"/>
        <n v="371.88"/>
        <n v="960.15"/>
        <n v="73.55"/>
        <n v="615.42999999999995"/>
        <n v="619.02"/>
        <n v="677.64"/>
        <n v="684.16"/>
        <n v="536.37"/>
        <n v="47.22"/>
        <n v="704.44"/>
        <n v="512.02"/>
        <n v="36.04"/>
        <n v="811.65"/>
        <n v="900.37"/>
        <n v="644.51"/>
        <n v="355.85"/>
        <n v="945.18"/>
        <n v="201.79"/>
        <n v="73"/>
        <n v="769.57"/>
        <n v="930.11"/>
        <n v="554.98"/>
        <n v="826.59"/>
        <n v="362.82"/>
        <n v="946.8"/>
        <n v="192.28"/>
        <n v="383.41"/>
        <n v="132.83000000000001"/>
        <n v="904.32"/>
        <n v="944.63"/>
        <n v="524.5"/>
        <n v="976.75"/>
        <n v="508.94"/>
        <n v="565.86"/>
        <n v="151.62"/>
        <n v="394.88"/>
        <n v="404.22"/>
        <n v="564.82000000000005"/>
        <n v="722.21"/>
        <n v="16.05"/>
        <n v="666.31"/>
        <n v="346.73"/>
        <n v="138.41999999999999"/>
        <n v="663.53"/>
        <n v="150.78"/>
        <n v="503.25"/>
        <n v="576.57000000000005"/>
        <n v="204.6"/>
        <n v="410.72"/>
        <n v="50.38"/>
        <n v="400.31"/>
        <n v="301.7"/>
        <n v="64.739999999999995"/>
        <n v="485.27"/>
        <n v="194.44"/>
        <n v="891.01"/>
        <n v="267.51"/>
        <n v="151.43"/>
        <n v="297.76"/>
        <n v="663.35"/>
        <n v="927.75"/>
        <n v="283.60000000000002"/>
        <n v="919.65"/>
        <n v="302.29000000000002"/>
        <n v="309.52999999999997"/>
        <n v="478.6"/>
        <n v="419.58"/>
        <n v="685.3"/>
        <n v="390.64"/>
        <n v="837.9"/>
        <n v="67.819999999999993"/>
        <n v="21.12"/>
        <n v="700.72"/>
        <n v="893.3"/>
        <n v="736.75"/>
        <n v="803.54"/>
        <n v="21.17"/>
        <n v="678.59"/>
        <n v="220.01"/>
        <n v="251.67"/>
        <n v="808.85"/>
        <n v="537.35"/>
        <n v="178.3"/>
        <n v="638.79999999999995"/>
        <n v="770.66"/>
        <n v="289.27"/>
        <n v="779.02"/>
        <n v="704.06"/>
        <n v="546.41999999999996"/>
        <n v="780.89"/>
        <n v="303.08"/>
        <n v="557.57000000000005"/>
        <n v="222.11"/>
        <n v="575.47"/>
        <n v="478.44"/>
        <n v="32.619999999999997"/>
        <n v="121.29"/>
        <n v="967.29"/>
        <n v="200.29"/>
        <n v="185"/>
        <n v="959.61"/>
        <n v="170.66"/>
        <n v="563.94000000000005"/>
        <n v="52.03"/>
        <n v="474.62"/>
        <n v="263.76"/>
        <n v="758.91"/>
        <n v="59.04"/>
        <n v="647.01"/>
        <n v="451.58"/>
        <n v="221.25"/>
        <n v="194.9"/>
        <n v="433.75"/>
        <n v="264.85000000000002"/>
        <n v="230.68"/>
        <n v="836.11"/>
        <n v="703.94"/>
        <n v="814.84"/>
        <n v="153.25"/>
        <n v="324.08999999999997"/>
        <n v="436.9"/>
        <n v="917.26"/>
        <n v="45.26"/>
        <n v="416.2"/>
        <n v="246.83"/>
        <n v="824.28"/>
        <n v="680.74"/>
        <n v="376.62"/>
        <n v="400.79"/>
        <n v="496.72"/>
        <n v="369.13"/>
        <n v="916.45"/>
        <n v="152.08000000000001"/>
        <n v="373.52"/>
        <n v="345.64"/>
        <n v="33.950000000000003"/>
        <n v="884.03"/>
        <n v="113.64"/>
        <n v="479.38"/>
        <n v="395.56"/>
        <n v="290.66000000000003"/>
        <n v="309.32"/>
        <n v="28.05"/>
        <n v="37.69"/>
        <n v="293.44"/>
        <n v="249.02"/>
        <n v="327.88"/>
        <n v="749.31"/>
        <n v="19.23"/>
        <n v="470.43"/>
        <n v="135.49"/>
        <n v="531.4"/>
        <n v="205.83"/>
        <n v="547.02"/>
        <n v="459.29"/>
        <n v="762.32"/>
        <n v="684.85"/>
        <n v="940.9"/>
        <n v="894.66"/>
        <n v="10.44"/>
        <n v="878.23"/>
        <n v="164.64"/>
        <n v="132.46"/>
        <n v="789.51"/>
        <n v="969.4"/>
        <n v="667.18"/>
        <n v="781.35"/>
        <n v="711.6"/>
        <n v="91.9"/>
        <n v="767.74"/>
        <n v="535.88"/>
        <n v="390.43"/>
        <n v="932.34"/>
        <n v="763.5"/>
        <n v="438.58"/>
        <n v="147.94"/>
        <n v="967.35"/>
        <n v="909.42"/>
        <n v="617.24"/>
        <n v="552"/>
        <n v="746.64"/>
        <n v="133.43"/>
        <n v="437.82"/>
        <n v="713.29"/>
        <n v="321.04000000000002"/>
        <n v="988.41"/>
        <n v="164.56"/>
        <n v="357.07"/>
        <n v="189.23"/>
        <n v="840.24"/>
        <n v="630.5"/>
        <n v="584.54"/>
        <n v="995.47"/>
        <n v="894.31"/>
        <n v="420.57"/>
        <n v="71.86"/>
        <n v="895.96"/>
        <n v="491.28"/>
        <n v="63.99"/>
        <n v="409.99"/>
        <n v="391.78"/>
        <n v="921.78"/>
        <n v="789.34"/>
        <n v="862.7"/>
        <n v="395.02"/>
        <n v="507.39"/>
        <n v="990.02"/>
        <n v="466.97"/>
        <n v="49.52"/>
        <n v="543.92999999999995"/>
        <n v="688.91"/>
        <n v="140.96"/>
        <n v="624.69000000000005"/>
        <n v="317.5"/>
        <n v="363.84"/>
        <n v="472.15"/>
        <n v="765.19"/>
        <n v="551.79"/>
        <n v="950.2"/>
        <n v="749.01"/>
        <n v="917.24"/>
        <n v="527.76"/>
        <n v="615.24"/>
        <n v="610.26"/>
        <n v="305.36"/>
        <n v="753.7"/>
        <n v="67.489999999999995"/>
        <n v="655.26"/>
        <n v="119.28"/>
        <n v="617.35"/>
        <n v="514.52"/>
        <n v="552.29999999999995"/>
        <n v="957.27"/>
        <n v="20.93"/>
        <n v="698.16"/>
        <n v="270.7"/>
        <n v="733.76"/>
        <n v="918.81"/>
        <n v="830.39"/>
        <n v="429.08"/>
        <n v="800.91"/>
        <n v="36.5"/>
        <n v="861.84"/>
        <n v="947.21"/>
        <n v="37.44"/>
        <n v="571.65"/>
        <n v="331.32"/>
        <n v="212.4"/>
        <n v="451.46"/>
        <n v="948.05"/>
        <n v="111.39"/>
        <n v="281.41000000000003"/>
        <n v="866.14"/>
        <n v="545.23"/>
        <n v="545.72"/>
        <n v="914.5"/>
        <n v="339.94"/>
        <n v="206.92"/>
        <n v="336.29"/>
        <n v="911.03"/>
        <n v="720.18"/>
        <n v="602.51"/>
        <n v="996.6"/>
        <n v="373.64"/>
        <n v="792.57"/>
        <n v="956.44"/>
        <n v="916.1"/>
        <n v="93.31"/>
        <n v="576.28"/>
        <n v="89.52"/>
        <n v="381.12"/>
        <n v="686.02"/>
        <n v="585.80999999999995"/>
        <n v="28.26"/>
        <n v="858.99"/>
        <n v="373.68"/>
        <n v="937.41"/>
        <n v="960.72"/>
        <n v="988.9"/>
        <n v="890.34"/>
        <n v="838.89"/>
        <n v="90.18"/>
        <n v="693.38"/>
        <n v="904.55"/>
        <n v="446.66"/>
        <n v="561.22"/>
        <n v="227.29"/>
        <n v="129.15"/>
        <n v="105.91"/>
        <n v="833.94"/>
        <n v="10.55"/>
        <n v="744.8"/>
        <n v="114.02"/>
        <n v="113.95"/>
        <n v="390.19"/>
        <n v="418.17"/>
        <n v="536.08000000000004"/>
        <n v="857.55"/>
        <n v="800.23"/>
        <n v="526.92999999999995"/>
        <n v="97.57"/>
        <n v="438.29"/>
        <n v="937.74"/>
        <n v="261.19"/>
        <n v="155.84"/>
        <n v="761.38"/>
        <n v="693.41"/>
        <n v="319.06"/>
        <n v="451.5"/>
        <n v="497.38"/>
        <n v="556.73"/>
        <n v="414.41"/>
        <n v="450.18"/>
        <n v="992.76"/>
        <n v="797.39"/>
        <n v="651.04"/>
        <n v="862.64"/>
        <n v="915.73"/>
        <n v="445.47"/>
        <n v="789.92"/>
        <n v="951.99"/>
        <n v="345.34"/>
        <n v="119.16"/>
        <n v="649.87"/>
        <n v="141.43"/>
        <n v="753.6"/>
        <n v="210.03"/>
        <n v="992.01"/>
        <n v="148.15"/>
        <n v="577.39"/>
        <n v="98.45"/>
        <n v="734.65"/>
        <n v="485.93"/>
        <n v="505.47"/>
        <n v="769.34"/>
        <n v="939.94"/>
        <n v="18.7"/>
        <n v="892.85"/>
        <n v="85.21"/>
        <n v="20.83"/>
        <n v="800.02"/>
        <n v="525.36"/>
        <n v="164.46"/>
        <n v="452.93"/>
        <n v="729.83"/>
        <n v="138.24"/>
        <n v="901.01"/>
        <n v="780.69"/>
        <n v="280.56"/>
        <n v="437.25"/>
        <n v="902.78"/>
        <n v="687.38"/>
        <n v="436.79"/>
        <n v="991.95"/>
        <n v="247.97"/>
        <n v="895.77"/>
        <n v="628.29"/>
        <n v="40.799999999999997"/>
        <n v="709.87"/>
        <n v="450.31"/>
        <n v="577.20000000000005"/>
        <n v="431.46"/>
        <n v="62.68"/>
        <n v="988.05"/>
        <n v="156.46"/>
        <n v="32.9"/>
        <n v="443.75"/>
        <n v="62.7"/>
        <n v="278.60000000000002"/>
        <n v="213.48"/>
        <n v="90.11"/>
        <n v="108.7"/>
        <n v="75.06"/>
        <n v="511.65"/>
        <n v="535.87"/>
        <n v="585.78"/>
        <n v="873.58"/>
        <n v="73.459999999999994"/>
        <n v="793.46"/>
        <n v="409.43"/>
        <n v="351.86"/>
        <n v="933.37"/>
        <n v="333.92"/>
        <n v="904.57"/>
        <n v="225.51"/>
        <n v="664.52"/>
        <n v="486.49"/>
        <n v="127.23"/>
        <n v="121.96"/>
        <n v="267.64"/>
        <n v="298.02999999999997"/>
        <n v="604.72"/>
        <n v="749.05"/>
        <n v="499.34"/>
        <n v="590.85"/>
        <n v="355.6"/>
        <n v="266.97000000000003"/>
        <n v="160.08000000000001"/>
        <n v="827.64"/>
        <n v="19.829999999999998"/>
        <n v="989.49"/>
        <n v="133.9"/>
        <n v="739.33"/>
        <n v="947.83"/>
        <n v="743.44"/>
        <n v="534.79"/>
        <n v="479.56"/>
        <n v="87.89"/>
        <n v="571.61"/>
        <n v="485.1"/>
        <n v="289.68"/>
        <n v="962.48"/>
        <n v="13.19"/>
        <n v="298.81"/>
        <n v="916.49"/>
        <n v="15.96"/>
        <n v="383.65"/>
        <n v="612.25"/>
        <n v="142"/>
        <n v="685.35"/>
        <n v="358.46"/>
        <n v="310.35000000000002"/>
        <n v="610.75"/>
        <n v="523.61"/>
        <n v="945.17"/>
        <n v="708.97"/>
        <n v="309.87"/>
        <n v="565.48"/>
        <n v="859.52"/>
        <n v="140.02000000000001"/>
        <n v="626.35"/>
        <n v="807.32"/>
        <n v="888.55"/>
        <n v="440.85"/>
        <n v="652.97"/>
        <n v="725.44"/>
        <n v="843.66"/>
        <n v="611.79999999999995"/>
        <n v="712.12"/>
        <n v="941.33"/>
        <n v="112.15"/>
        <n v="284.7"/>
        <n v="694.09"/>
        <n v="102.98"/>
        <n v="398.32"/>
        <n v="576.07000000000005"/>
        <n v="51.79"/>
        <n v="426.31"/>
        <n v="808.65"/>
        <n v="970.37"/>
        <n v="67.540000000000006"/>
        <n v="813.14"/>
        <n v="944.07"/>
        <n v="401.12"/>
        <n v="775.63"/>
        <n v="963.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4.972285069445" createdVersion="8" refreshedVersion="8" minRefreshableVersion="3" recordCount="1000" xr:uid="{57CF0014-6A4C-4247-B0D6-610B1AF19345}">
  <cacheSource type="worksheet">
    <worksheetSource ref="A1:H1001" sheet="defects_data (2)"/>
  </cacheSource>
  <cacheFields count="8">
    <cacheField name="defect_id" numFmtId="0">
      <sharedItems containsSemiMixedTypes="0" containsString="0" containsNumber="1" containsInteger="1" minValue="1" maxValue="1000"/>
    </cacheField>
    <cacheField name="product_id" numFmtId="0">
      <sharedItems containsSemiMixedTypes="0" containsString="0" containsNumber="1" containsInteger="1" minValue="1" maxValue="100" count="100">
        <n v="15"/>
        <n v="6"/>
        <n v="84"/>
        <n v="10"/>
        <n v="14"/>
        <n v="17"/>
        <n v="85"/>
        <n v="90"/>
        <n v="30"/>
        <n v="20"/>
        <n v="45"/>
        <n v="86"/>
        <n v="87"/>
        <n v="72"/>
        <n v="74"/>
        <n v="53"/>
        <n v="63"/>
        <n v="28"/>
        <n v="81"/>
        <n v="67"/>
        <n v="33"/>
        <n v="13"/>
        <n v="39"/>
        <n v="60"/>
        <n v="42"/>
        <n v="3"/>
        <n v="25"/>
        <n v="58"/>
        <n v="48"/>
        <n v="68"/>
        <n v="51"/>
        <n v="12"/>
        <n v="92"/>
        <n v="49"/>
        <n v="24"/>
        <n v="64"/>
        <n v="36"/>
        <n v="79"/>
        <n v="65"/>
        <n v="9"/>
        <n v="7"/>
        <n v="62"/>
        <n v="29"/>
        <n v="73"/>
        <n v="5"/>
        <n v="43"/>
        <n v="52"/>
        <n v="2"/>
        <n v="22"/>
        <n v="31"/>
        <n v="11"/>
        <n v="71"/>
        <n v="35"/>
        <n v="69"/>
        <n v="75"/>
        <n v="70"/>
        <n v="98"/>
        <n v="93"/>
        <n v="56"/>
        <n v="8"/>
        <n v="27"/>
        <n v="1"/>
        <n v="97"/>
        <n v="44"/>
        <n v="83"/>
        <n v="66"/>
        <n v="99"/>
        <n v="80"/>
        <n v="100"/>
        <n v="61"/>
        <n v="41"/>
        <n v="96"/>
        <n v="77"/>
        <n v="91"/>
        <n v="34"/>
        <n v="4"/>
        <n v="21"/>
        <n v="95"/>
        <n v="18"/>
        <n v="76"/>
        <n v="78"/>
        <n v="82"/>
        <n v="59"/>
        <n v="38"/>
        <n v="23"/>
        <n v="89"/>
        <n v="88"/>
        <n v="47"/>
        <n v="54"/>
        <n v="57"/>
        <n v="37"/>
        <n v="94"/>
        <n v="46"/>
        <n v="19"/>
        <n v="16"/>
        <n v="40"/>
        <n v="32"/>
        <n v="26"/>
        <n v="50"/>
        <n v="55"/>
      </sharedItems>
    </cacheField>
    <cacheField name="defect_type" numFmtId="0">
      <sharedItems count="3">
        <s v="Structural"/>
        <s v="Functional"/>
        <s v="Cosmetic"/>
      </sharedItems>
    </cacheField>
    <cacheField name="defect_date" numFmtId="0">
      <sharedItems containsDate="1" containsMixedTypes="1" minDate="2024-01-01T00:00:00" maxDate="2024-12-07T00:00:00" count="182">
        <d v="2024-06-06T00:00:00"/>
        <s v="4/26/2024"/>
        <s v="2/15/2024"/>
        <s v="3/28/2024"/>
        <d v="2024-11-05T00:00:00"/>
        <s v="5/23/2024"/>
        <s v="1/15/2024"/>
        <s v="1/26/2024"/>
        <d v="2024-05-06T00:00:00"/>
        <s v="4/28/2024"/>
        <s v="2/25/2024"/>
        <s v="6/20/2024"/>
        <d v="2024-08-05T00:00:00"/>
        <d v="2024-03-05T00:00:00"/>
        <s v="1/20/2024"/>
        <s v="5/14/2024"/>
        <s v="5/21/2024"/>
        <s v="5/25/2024"/>
        <d v="2024-06-03T00:00:00"/>
        <d v="2024-06-05T00:00:00"/>
        <s v="2/23/2024"/>
        <s v="2/19/2024"/>
        <s v="6/15/2024"/>
        <d v="2024-02-01T00:00:00"/>
        <s v="1/13/2024"/>
        <s v="1/22/2024"/>
        <s v="4/30/2024"/>
        <s v="3/29/2024"/>
        <s v="5/15/2024"/>
        <s v="6/19/2024"/>
        <d v="2024-04-04T00:00:00"/>
        <d v="2024-04-06T00:00:00"/>
        <d v="2024-08-06T00:00:00"/>
        <s v="6/25/2024"/>
        <d v="2024-06-01T00:00:00"/>
        <d v="2024-11-03T00:00:00"/>
        <s v="5/18/2024"/>
        <s v="3/23/2024"/>
        <s v="5/27/2024"/>
        <s v="4/24/2024"/>
        <s v="2/14/2024"/>
        <d v="2024-03-01T00:00:00"/>
        <s v="2/24/2024"/>
        <s v="6/26/2024"/>
        <s v="5/19/2024"/>
        <s v="1/19/2024"/>
        <d v="2024-10-03T00:00:00"/>
        <s v="2/18/2024"/>
        <d v="2024-11-06T00:00:00"/>
        <d v="2024-08-03T00:00:00"/>
        <d v="2024-11-01T00:00:00"/>
        <s v="4/16/2024"/>
        <s v="5/24/2024"/>
        <s v="3/15/2024"/>
        <d v="2024-05-03T00:00:00"/>
        <s v="6/29/2024"/>
        <s v="5/20/2024"/>
        <s v="3/27/2024"/>
        <d v="2024-06-02T00:00:00"/>
        <s v="3/14/2024"/>
        <d v="2024-02-04T00:00:00"/>
        <d v="2024-11-04T00:00:00"/>
        <s v="6/24/2024"/>
        <s v="4/27/2024"/>
        <s v="1/14/2024"/>
        <s v="1/21/2024"/>
        <d v="2024-09-02T00:00:00"/>
        <d v="2024-01-05T00:00:00"/>
        <s v="2/17/2024"/>
        <d v="2024-07-03T00:00:00"/>
        <s v="6/30/2024"/>
        <d v="2024-01-04T00:00:00"/>
        <d v="2024-02-02T00:00:00"/>
        <s v="5/16/2024"/>
        <d v="2024-08-04T00:00:00"/>
        <s v="1/25/2024"/>
        <s v="5/31/2024"/>
        <s v="6/28/2024"/>
        <s v="2/22/2024"/>
        <d v="2024-12-01T00:00:00"/>
        <d v="2024-09-01T00:00:00"/>
        <d v="2024-10-04T00:00:00"/>
        <d v="2024-09-06T00:00:00"/>
        <d v="2024-04-02T00:00:00"/>
        <d v="2024-01-02T00:00:00"/>
        <d v="2024-02-03T00:00:00"/>
        <d v="2024-06-04T00:00:00"/>
        <s v="4/23/2024"/>
        <s v="3/20/2024"/>
        <d v="2024-03-02T00:00:00"/>
        <s v="2/21/2024"/>
        <s v="4/19/2024"/>
        <s v="3/25/2024"/>
        <s v="6/18/2024"/>
        <s v="1/16/2024"/>
        <d v="2024-05-04T00:00:00"/>
        <s v="1/29/2024"/>
        <s v="3/22/2024"/>
        <d v="2024-07-06T00:00:00"/>
        <s v="1/27/2024"/>
        <s v="1/24/2024"/>
        <d v="2024-07-05T00:00:00"/>
        <s v="5/17/2024"/>
        <s v="1/30/2024"/>
        <s v="4/20/2024"/>
        <d v="2024-03-06T00:00:00"/>
        <s v="5/29/2024"/>
        <d v="2024-09-03T00:00:00"/>
        <s v="1/17/2024"/>
        <d v="2024-07-01T00:00:00"/>
        <s v="2/29/2024"/>
        <d v="2024-02-06T00:00:00"/>
        <s v="6/22/2024"/>
        <s v="3/21/2024"/>
        <d v="2024-03-03T00:00:00"/>
        <s v="6/21/2024"/>
        <s v="5/28/2024"/>
        <s v="4/14/2024"/>
        <d v="2024-04-01T00:00:00"/>
        <s v="4/22/2024"/>
        <s v="1/31/2024"/>
        <d v="2024-12-03T00:00:00"/>
        <d v="2024-10-05T00:00:00"/>
        <d v="2024-12-02T00:00:00"/>
        <s v="6/23/2024"/>
        <s v="3/24/2024"/>
        <s v="1/28/2024"/>
        <s v="3/17/2024"/>
        <d v="2024-05-05T00:00:00"/>
        <d v="2024-04-05T00:00:00"/>
        <s v="3/19/2024"/>
        <d v="2024-08-02T00:00:00"/>
        <s v="3/30/2024"/>
        <d v="2024-02-05T00:00:00"/>
        <d v="2024-05-01T00:00:00"/>
        <d v="2024-09-04T00:00:00"/>
        <d v="2024-05-02T00:00:00"/>
        <s v="5/22/2024"/>
        <s v="5/26/2024"/>
        <d v="2024-07-02T00:00:00"/>
        <s v="2/27/2024"/>
        <s v="3/31/2024"/>
        <s v="1/23/2024"/>
        <s v="4/25/2024"/>
        <d v="2024-12-06T00:00:00"/>
        <s v="2/13/2024"/>
        <d v="2024-08-01T00:00:00"/>
        <s v="5/30/2024"/>
        <s v="4/15/2024"/>
        <s v="4/29/2024"/>
        <d v="2024-01-03T00:00:00"/>
        <s v="4/13/2024"/>
        <s v="6/14/2024"/>
        <s v="4/18/2024"/>
        <s v="3/13/2024"/>
        <s v="6/13/2024"/>
        <d v="2024-10-01T00:00:00"/>
        <s v="2/20/2024"/>
        <d v="2024-07-04T00:00:00"/>
        <d v="2024-12-04T00:00:00"/>
        <d v="2024-09-05T00:00:00"/>
        <s v="2/28/2024"/>
        <s v="3/26/2024"/>
        <s v="6/27/2024"/>
        <s v="5/13/2024"/>
        <d v="2024-12-05T00:00:00"/>
        <d v="2024-04-03T00:00:00"/>
        <s v="2/26/2024"/>
        <s v="3/16/2024"/>
        <s v="1/18/2024"/>
        <s v="6/16/2024"/>
        <d v="2024-10-02T00:00:00"/>
        <s v="4/21/2024"/>
        <s v="6/17/2024"/>
        <d v="2024-10-06T00:00:00"/>
        <d v="2024-03-04T00:00:00"/>
        <s v="3/18/2024"/>
        <d v="2024-11-02T00:00:00"/>
        <d v="2024-01-06T00:00:00"/>
        <s v="2/16/2024"/>
        <d v="2024-01-01T00:00:00"/>
        <s v="4/17/2024"/>
      </sharedItems>
    </cacheField>
    <cacheField name="defect_location" numFmtId="0">
      <sharedItems count="3">
        <s v="Component"/>
        <s v="Internal"/>
        <s v="Surface"/>
      </sharedItems>
    </cacheField>
    <cacheField name="severity" numFmtId="0">
      <sharedItems count="3">
        <s v="Minor"/>
        <s v="Critical"/>
        <s v="Moderate"/>
      </sharedItems>
    </cacheField>
    <cacheField name="inspection_method" numFmtId="0">
      <sharedItems count="3">
        <s v="Visual Inspection"/>
        <s v="Automated Testing"/>
        <s v="Manual Testing"/>
      </sharedItems>
    </cacheField>
    <cacheField name="repair_cost" numFmtId="0">
      <sharedItems containsSemiMixedTypes="0" containsString="0" containsNumber="1" minValue="10.220000000000001" maxValue="999.64" count="996">
        <n v="245.47"/>
        <n v="26.87"/>
        <n v="835.81"/>
        <n v="444.47"/>
        <n v="823.64"/>
        <n v="788.11"/>
        <n v="33.68"/>
        <n v="65.56"/>
        <n v="848.61"/>
        <n v="478.48"/>
        <n v="217.96"/>
        <n v="485.02"/>
        <n v="714.63"/>
        <n v="603.94000000000005"/>
        <n v="189.55"/>
        <n v="458.79"/>
        <n v="509.35"/>
        <n v="538.99"/>
        <n v="34.93"/>
        <n v="557.11"/>
        <n v="831.43"/>
        <n v="504.9"/>
        <n v="349.23"/>
        <n v="560.39"/>
        <n v="629.71"/>
        <n v="975.44"/>
        <n v="737.54"/>
        <n v="592.87"/>
        <n v="99.82"/>
        <n v="106.34"/>
        <n v="352.58"/>
        <n v="734.12"/>
        <n v="953.54"/>
        <n v="753.89"/>
        <n v="955.91"/>
        <n v="776.91"/>
        <n v="607.96"/>
        <n v="107.7"/>
        <n v="27.24"/>
        <n v="370.83"/>
        <n v="526.08000000000004"/>
        <n v="144.38"/>
        <n v="534.33000000000004"/>
        <n v="456.8"/>
        <n v="215.01"/>
        <n v="824.3"/>
        <n v="769.28"/>
        <n v="160.25"/>
        <n v="386.17"/>
        <n v="572.08000000000004"/>
        <n v="433.85"/>
        <n v="338.1"/>
        <n v="93.13"/>
        <n v="308.37"/>
        <n v="396.58"/>
        <n v="957.6"/>
        <n v="205.19"/>
        <n v="300.27"/>
        <n v="671.22"/>
        <n v="395.1"/>
        <n v="675.89"/>
        <n v="523.02"/>
        <n v="337.5"/>
        <n v="830.89"/>
        <n v="84.97"/>
        <n v="771.96"/>
        <n v="46.43"/>
        <n v="31.91"/>
        <n v="845.8"/>
        <n v="729.55"/>
        <n v="187.03"/>
        <n v="470.35"/>
        <n v="662.35"/>
        <n v="509.97"/>
        <n v="352.33"/>
        <n v="228.22"/>
        <n v="632.45000000000005"/>
        <n v="975.87"/>
        <n v="967.14"/>
        <n v="992.69"/>
        <n v="827.74"/>
        <n v="270.97000000000003"/>
        <n v="712.98"/>
        <n v="556.04999999999995"/>
        <n v="200.11"/>
        <n v="660.05"/>
        <n v="220.96"/>
        <n v="776.54"/>
        <n v="920.26"/>
        <n v="492.22"/>
        <n v="513.45000000000005"/>
        <n v="286.27999999999997"/>
        <n v="698.89"/>
        <n v="555.25"/>
        <n v="465.92"/>
        <n v="732.13"/>
        <n v="582.46"/>
        <n v="647.70000000000005"/>
        <n v="536.57000000000005"/>
        <n v="673.85"/>
        <n v="871.1"/>
        <n v="973.66"/>
        <n v="787.42"/>
        <n v="338.48"/>
        <n v="922.07"/>
        <n v="137.41"/>
        <n v="17.89"/>
        <n v="210.3"/>
        <n v="978.5"/>
        <n v="381.15"/>
        <n v="302.42"/>
        <n v="813.46"/>
        <n v="998.27"/>
        <n v="498.47"/>
        <n v="362.23"/>
        <n v="194.79"/>
        <n v="677.65"/>
        <n v="310.8"/>
        <n v="717.21"/>
        <n v="641.58000000000004"/>
        <n v="520.84"/>
        <n v="271.18"/>
        <n v="657.81"/>
        <n v="620.66"/>
        <n v="533.03"/>
        <n v="21.77"/>
        <n v="302.22000000000003"/>
        <n v="895.38"/>
        <n v="241.61"/>
        <n v="878.46"/>
        <n v="268.08"/>
        <n v="492.32"/>
        <n v="379.78"/>
        <n v="498.71"/>
        <n v="379.01"/>
        <n v="79.52"/>
        <n v="602.25"/>
        <n v="575.71"/>
        <n v="760.33"/>
        <n v="955.54"/>
        <n v="679.88"/>
        <n v="71.91"/>
        <n v="916.79"/>
        <n v="558.34"/>
        <n v="23.02"/>
        <n v="346.23"/>
        <n v="926.31"/>
        <n v="783.88"/>
        <n v="747.18"/>
        <n v="415.84"/>
        <n v="502.15"/>
        <n v="94.7"/>
        <n v="426.04"/>
        <n v="380.52"/>
        <n v="935.64"/>
        <n v="595.9"/>
        <n v="788.22"/>
        <n v="465.74"/>
        <n v="661.8"/>
        <n v="532.77"/>
        <n v="612.03"/>
        <n v="614.11"/>
        <n v="238.39"/>
        <n v="986.51"/>
        <n v="796.76"/>
        <n v="105.27"/>
        <n v="950.97"/>
        <n v="517.41"/>
        <n v="789.62"/>
        <n v="942.03"/>
        <n v="352.05"/>
        <n v="10.220000000000001"/>
        <n v="932.23"/>
        <n v="715.22"/>
        <n v="999.64"/>
        <n v="952.49"/>
        <n v="174.76"/>
        <n v="755.15"/>
        <n v="532.6"/>
        <n v="854.25"/>
        <n v="383.83"/>
        <n v="80"/>
        <n v="970.31"/>
        <n v="517.63"/>
        <n v="81.33"/>
        <n v="540.91999999999996"/>
        <n v="280.77"/>
        <n v="87.28"/>
        <n v="306.56"/>
        <n v="86.46"/>
        <n v="13.03"/>
        <n v="525.07000000000005"/>
        <n v="219.71"/>
        <n v="192.21"/>
        <n v="924.13"/>
        <n v="65.23"/>
        <n v="481.7"/>
        <n v="561.27"/>
        <n v="169.54"/>
        <n v="629.38"/>
        <n v="783.36"/>
        <n v="102.88"/>
        <n v="269.04000000000002"/>
        <n v="257.33"/>
        <n v="824.37"/>
        <n v="303.58999999999997"/>
        <n v="793.3"/>
        <n v="929.05"/>
        <n v="473.36"/>
        <n v="478.17"/>
        <n v="430.49"/>
        <n v="460.93"/>
        <n v="917.3"/>
        <n v="520.21"/>
        <n v="575.58000000000004"/>
        <n v="296.41000000000003"/>
        <n v="622.98"/>
        <n v="484.08"/>
        <n v="479.31"/>
        <n v="624.22"/>
        <n v="777.18"/>
        <n v="842.93"/>
        <n v="974.99"/>
        <n v="989.81"/>
        <n v="484.04"/>
        <n v="38.39"/>
        <n v="334.53"/>
        <n v="580.74"/>
        <n v="638.28"/>
        <n v="727.86"/>
        <n v="117.74"/>
        <n v="891.94"/>
        <n v="440.58"/>
        <n v="310.95999999999998"/>
        <n v="430.74"/>
        <n v="47.99"/>
        <n v="728.13"/>
        <n v="890.35"/>
        <n v="356.55"/>
        <n v="271.51"/>
        <n v="288.31"/>
        <n v="663.49"/>
        <n v="711.77"/>
        <n v="822.12"/>
        <n v="889.52"/>
        <n v="471.55"/>
        <n v="136.69"/>
        <n v="148.61000000000001"/>
        <n v="768.39"/>
        <n v="545.52"/>
        <n v="978.58"/>
        <n v="62.59"/>
        <n v="146.53"/>
        <n v="168.3"/>
        <n v="225.2"/>
        <n v="875.37"/>
        <n v="772.77"/>
        <n v="617.12"/>
        <n v="900.61"/>
        <n v="159.25"/>
        <n v="16.62"/>
        <n v="906.96"/>
        <n v="446.61"/>
        <n v="406.06"/>
        <n v="286.25"/>
        <n v="319.60000000000002"/>
        <n v="798.16"/>
        <n v="674.23"/>
        <n v="940.48"/>
        <n v="42.63"/>
        <n v="433.02"/>
        <n v="606.91"/>
        <n v="129.41"/>
        <n v="444.1"/>
        <n v="634.26"/>
        <n v="672.89"/>
        <n v="557.66999999999996"/>
        <n v="272.52999999999997"/>
        <n v="503.24"/>
        <n v="611.37"/>
        <n v="501.54"/>
        <n v="290.23"/>
        <n v="195.84"/>
        <n v="88.05"/>
        <n v="97.99"/>
        <n v="349.24"/>
        <n v="421.51"/>
        <n v="422.77"/>
        <n v="925.03"/>
        <n v="319.58"/>
        <n v="556.41999999999996"/>
        <n v="818.54"/>
        <n v="320.62"/>
        <n v="178.82"/>
        <n v="237.65"/>
        <n v="658.16"/>
        <n v="326.58"/>
        <n v="301.61"/>
        <n v="357.56"/>
        <n v="358.21"/>
        <n v="89.91"/>
        <n v="18.420000000000002"/>
        <n v="294.31"/>
        <n v="865.96"/>
        <n v="578.28"/>
        <n v="495.87"/>
        <n v="728.39"/>
        <n v="949.72"/>
        <n v="56.12"/>
        <n v="56.35"/>
        <n v="651.35"/>
        <n v="471.27"/>
        <n v="732.6"/>
        <n v="865.3"/>
        <n v="49.2"/>
        <n v="567.72"/>
        <n v="490.53"/>
        <n v="11.38"/>
        <n v="409.72"/>
        <n v="515.07000000000005"/>
        <n v="42.44"/>
        <n v="883.58"/>
        <n v="624.98"/>
        <n v="195.74"/>
        <n v="241.22"/>
        <n v="441.18"/>
        <n v="274.08999999999997"/>
        <n v="268.52"/>
        <n v="170.44"/>
        <n v="386.43"/>
        <n v="970.98"/>
        <n v="751.73"/>
        <n v="285.85000000000002"/>
        <n v="478.75"/>
        <n v="884.79"/>
        <n v="44.73"/>
        <n v="952.79"/>
        <n v="959.59"/>
        <n v="312.25"/>
        <n v="658.47"/>
        <n v="243.25"/>
        <n v="199.65"/>
        <n v="471.43"/>
        <n v="756.85"/>
        <n v="369.06"/>
        <n v="326.19"/>
        <n v="22.07"/>
        <n v="825.33"/>
        <n v="697.77"/>
        <n v="417.1"/>
        <n v="74.81"/>
        <n v="104.54"/>
        <n v="480.07"/>
        <n v="842.37"/>
        <n v="422.03"/>
        <n v="161.41"/>
        <n v="361.26"/>
        <n v="999.25"/>
        <n v="495.53"/>
        <n v="40.89"/>
        <n v="444.31"/>
        <n v="739.69"/>
        <n v="577.64"/>
        <n v="230.65"/>
        <n v="692.1"/>
        <n v="378.29"/>
        <n v="584.9"/>
        <n v="39.01"/>
        <n v="899.07"/>
        <n v="96.04"/>
        <n v="269.99"/>
        <n v="996.49"/>
        <n v="573.22"/>
        <n v="694.03"/>
        <n v="963.03"/>
        <n v="118.46"/>
        <n v="773.47"/>
        <n v="180.86"/>
        <n v="18.61"/>
        <n v="176.96"/>
        <n v="32.44"/>
        <n v="351.27"/>
        <n v="303.16000000000003"/>
        <n v="404.15"/>
        <n v="800.76"/>
        <n v="321.45"/>
        <n v="510.38"/>
        <n v="883.92"/>
        <n v="918.87"/>
        <n v="564.46"/>
        <n v="889.4"/>
        <n v="197.87"/>
        <n v="786.6"/>
        <n v="740.36"/>
        <n v="667.24"/>
        <n v="77.72"/>
        <n v="106.59"/>
        <n v="529.16"/>
        <n v="94.34"/>
        <n v="97.53"/>
        <n v="500.88"/>
        <n v="477.42"/>
        <n v="810.57"/>
        <n v="945.16"/>
        <n v="325.31"/>
        <n v="810.44"/>
        <n v="623.76"/>
        <n v="375.28"/>
        <n v="474.48"/>
        <n v="636.39"/>
        <n v="957.36"/>
        <n v="66.98"/>
        <n v="608.64"/>
        <n v="75.930000000000007"/>
        <n v="477.58"/>
        <n v="252.11"/>
        <n v="987.71"/>
        <n v="464.04"/>
        <n v="694.29"/>
        <n v="829.49"/>
        <n v="466.04"/>
        <n v="101.05"/>
        <n v="748.29"/>
        <n v="438.54"/>
        <n v="834.57"/>
        <n v="655.02"/>
        <n v="342.61"/>
        <n v="539.5"/>
        <n v="487.41"/>
        <n v="212.86"/>
        <n v="873.59"/>
        <n v="389.21"/>
        <n v="34.479999999999997"/>
        <n v="235.97"/>
        <n v="575.15"/>
        <n v="182.54"/>
        <n v="752.8"/>
        <n v="214.33"/>
        <n v="716.26"/>
        <n v="608.46"/>
        <n v="255.47"/>
        <n v="914.32"/>
        <n v="519.15"/>
        <n v="816.09"/>
        <n v="481.11"/>
        <n v="780.05"/>
        <n v="750.51"/>
        <n v="908.59"/>
        <n v="705.47"/>
        <n v="406.28"/>
        <n v="295.41000000000003"/>
        <n v="903.36"/>
        <n v="803.65"/>
        <n v="359.69"/>
        <n v="699.69"/>
        <n v="281.81"/>
        <n v="896.04"/>
        <n v="587.69000000000005"/>
        <n v="623.52"/>
        <n v="668.05"/>
        <n v="571.02"/>
        <n v="918.39"/>
        <n v="669.62"/>
        <n v="581.01"/>
        <n v="899.45"/>
        <n v="764.59"/>
        <n v="150.16"/>
        <n v="791.72"/>
        <n v="15.1"/>
        <n v="466.92"/>
        <n v="833.02"/>
        <n v="907.98"/>
        <n v="652.85"/>
        <n v="618.88"/>
        <n v="140.36000000000001"/>
        <n v="683.68"/>
        <n v="613.47"/>
        <n v="895.11"/>
        <n v="515.94000000000005"/>
        <n v="293.08999999999997"/>
        <n v="689.42"/>
        <n v="148.53"/>
        <n v="933.3"/>
        <n v="336.75"/>
        <n v="223.73"/>
        <n v="236.47"/>
        <n v="647.11"/>
        <n v="268.57"/>
        <n v="405.89"/>
        <n v="643.98"/>
        <n v="183.11"/>
        <n v="878.64"/>
        <n v="702.09"/>
        <n v="823.59"/>
        <n v="294.56"/>
        <n v="533.14"/>
        <n v="975.5"/>
        <n v="707.21"/>
        <n v="775.91"/>
        <n v="617.36"/>
        <n v="922.52"/>
        <n v="81.91"/>
        <n v="40.19"/>
        <n v="943.79"/>
        <n v="411.9"/>
        <n v="759.53"/>
        <n v="368.11"/>
        <n v="27.9"/>
        <n v="670.09"/>
        <n v="790.76"/>
        <n v="769.88"/>
        <n v="262.60000000000002"/>
        <n v="520.44000000000005"/>
        <n v="624.75"/>
        <n v="496.27"/>
        <n v="368.54"/>
        <n v="942.94"/>
        <n v="449.63"/>
        <n v="117.82"/>
        <n v="300.05"/>
        <n v="975.1"/>
        <n v="74.36"/>
        <n v="924.05"/>
        <n v="132.38999999999999"/>
        <n v="893.77"/>
        <n v="142.63999999999999"/>
        <n v="368.94"/>
        <n v="997.03"/>
        <n v="496.1"/>
        <n v="798.12"/>
        <n v="572.74"/>
        <n v="53.77"/>
        <n v="369.83"/>
        <n v="398.17"/>
        <n v="825.57"/>
        <n v="201.88"/>
        <n v="47.47"/>
        <n v="856.33"/>
        <n v="497.65"/>
        <n v="908.53"/>
        <n v="371.88"/>
        <n v="960.15"/>
        <n v="73.55"/>
        <n v="615.42999999999995"/>
        <n v="619.02"/>
        <n v="677.64"/>
        <n v="684.16"/>
        <n v="536.37"/>
        <n v="47.22"/>
        <n v="704.44"/>
        <n v="512.02"/>
        <n v="36.04"/>
        <n v="811.65"/>
        <n v="900.37"/>
        <n v="644.51"/>
        <n v="355.85"/>
        <n v="945.18"/>
        <n v="201.79"/>
        <n v="73"/>
        <n v="769.57"/>
        <n v="930.11"/>
        <n v="554.98"/>
        <n v="826.59"/>
        <n v="362.82"/>
        <n v="946.8"/>
        <n v="192.28"/>
        <n v="383.41"/>
        <n v="132.83000000000001"/>
        <n v="904.32"/>
        <n v="944.63"/>
        <n v="524.5"/>
        <n v="976.75"/>
        <n v="508.94"/>
        <n v="565.86"/>
        <n v="151.62"/>
        <n v="394.88"/>
        <n v="404.22"/>
        <n v="564.82000000000005"/>
        <n v="722.21"/>
        <n v="16.05"/>
        <n v="666.31"/>
        <n v="346.73"/>
        <n v="138.41999999999999"/>
        <n v="663.53"/>
        <n v="150.78"/>
        <n v="503.25"/>
        <n v="576.57000000000005"/>
        <n v="204.6"/>
        <n v="410.72"/>
        <n v="50.38"/>
        <n v="400.31"/>
        <n v="301.7"/>
        <n v="64.739999999999995"/>
        <n v="485.27"/>
        <n v="194.44"/>
        <n v="891.01"/>
        <n v="267.51"/>
        <n v="151.43"/>
        <n v="297.76"/>
        <n v="663.35"/>
        <n v="927.75"/>
        <n v="283.60000000000002"/>
        <n v="919.65"/>
        <n v="302.29000000000002"/>
        <n v="309.52999999999997"/>
        <n v="478.6"/>
        <n v="419.58"/>
        <n v="685.3"/>
        <n v="390.64"/>
        <n v="837.9"/>
        <n v="67.819999999999993"/>
        <n v="21.12"/>
        <n v="700.72"/>
        <n v="893.3"/>
        <n v="736.75"/>
        <n v="803.54"/>
        <n v="21.17"/>
        <n v="678.59"/>
        <n v="220.01"/>
        <n v="251.67"/>
        <n v="808.85"/>
        <n v="537.35"/>
        <n v="178.3"/>
        <n v="638.79999999999995"/>
        <n v="770.66"/>
        <n v="289.27"/>
        <n v="779.02"/>
        <n v="704.06"/>
        <n v="546.41999999999996"/>
        <n v="780.89"/>
        <n v="303.08"/>
        <n v="557.57000000000005"/>
        <n v="222.11"/>
        <n v="575.47"/>
        <n v="478.44"/>
        <n v="32.619999999999997"/>
        <n v="121.29"/>
        <n v="967.29"/>
        <n v="200.29"/>
        <n v="185"/>
        <n v="959.61"/>
        <n v="170.66"/>
        <n v="563.94000000000005"/>
        <n v="52.03"/>
        <n v="474.62"/>
        <n v="263.76"/>
        <n v="758.91"/>
        <n v="59.04"/>
        <n v="647.01"/>
        <n v="451.58"/>
        <n v="221.25"/>
        <n v="194.9"/>
        <n v="433.75"/>
        <n v="264.85000000000002"/>
        <n v="230.68"/>
        <n v="836.11"/>
        <n v="703.94"/>
        <n v="814.84"/>
        <n v="153.25"/>
        <n v="324.08999999999997"/>
        <n v="436.9"/>
        <n v="917.26"/>
        <n v="45.26"/>
        <n v="416.2"/>
        <n v="246.83"/>
        <n v="824.28"/>
        <n v="680.74"/>
        <n v="376.62"/>
        <n v="400.79"/>
        <n v="496.72"/>
        <n v="369.13"/>
        <n v="916.45"/>
        <n v="152.08000000000001"/>
        <n v="373.52"/>
        <n v="345.64"/>
        <n v="33.950000000000003"/>
        <n v="884.03"/>
        <n v="113.64"/>
        <n v="479.38"/>
        <n v="395.56"/>
        <n v="290.66000000000003"/>
        <n v="309.32"/>
        <n v="28.05"/>
        <n v="37.69"/>
        <n v="293.44"/>
        <n v="249.02"/>
        <n v="327.88"/>
        <n v="749.31"/>
        <n v="19.23"/>
        <n v="470.43"/>
        <n v="135.49"/>
        <n v="531.4"/>
        <n v="205.83"/>
        <n v="547.02"/>
        <n v="459.29"/>
        <n v="762.32"/>
        <n v="684.85"/>
        <n v="940.9"/>
        <n v="894.66"/>
        <n v="10.44"/>
        <n v="878.23"/>
        <n v="164.64"/>
        <n v="132.46"/>
        <n v="789.51"/>
        <n v="969.4"/>
        <n v="667.18"/>
        <n v="781.35"/>
        <n v="711.6"/>
        <n v="91.9"/>
        <n v="767.74"/>
        <n v="535.88"/>
        <n v="390.43"/>
        <n v="932.34"/>
        <n v="763.5"/>
        <n v="438.58"/>
        <n v="147.94"/>
        <n v="967.35"/>
        <n v="909.42"/>
        <n v="617.24"/>
        <n v="552"/>
        <n v="746.64"/>
        <n v="133.43"/>
        <n v="437.82"/>
        <n v="713.29"/>
        <n v="321.04000000000002"/>
        <n v="988.41"/>
        <n v="164.56"/>
        <n v="357.07"/>
        <n v="189.23"/>
        <n v="840.24"/>
        <n v="630.5"/>
        <n v="584.54"/>
        <n v="995.47"/>
        <n v="894.31"/>
        <n v="420.57"/>
        <n v="71.86"/>
        <n v="895.96"/>
        <n v="491.28"/>
        <n v="63.99"/>
        <n v="409.99"/>
        <n v="391.78"/>
        <n v="921.78"/>
        <n v="789.34"/>
        <n v="862.7"/>
        <n v="395.02"/>
        <n v="507.39"/>
        <n v="990.02"/>
        <n v="466.97"/>
        <n v="49.52"/>
        <n v="543.92999999999995"/>
        <n v="688.91"/>
        <n v="140.96"/>
        <n v="624.69000000000005"/>
        <n v="317.5"/>
        <n v="363.84"/>
        <n v="472.15"/>
        <n v="765.19"/>
        <n v="551.79"/>
        <n v="950.2"/>
        <n v="749.01"/>
        <n v="917.24"/>
        <n v="527.76"/>
        <n v="615.24"/>
        <n v="610.26"/>
        <n v="305.36"/>
        <n v="753.7"/>
        <n v="67.489999999999995"/>
        <n v="655.26"/>
        <n v="119.28"/>
        <n v="617.35"/>
        <n v="514.52"/>
        <n v="552.29999999999995"/>
        <n v="957.27"/>
        <n v="20.93"/>
        <n v="698.16"/>
        <n v="270.7"/>
        <n v="733.76"/>
        <n v="918.81"/>
        <n v="830.39"/>
        <n v="429.08"/>
        <n v="800.91"/>
        <n v="36.5"/>
        <n v="861.84"/>
        <n v="947.21"/>
        <n v="37.44"/>
        <n v="571.65"/>
        <n v="331.32"/>
        <n v="212.4"/>
        <n v="451.46"/>
        <n v="948.05"/>
        <n v="111.39"/>
        <n v="281.41000000000003"/>
        <n v="866.14"/>
        <n v="545.23"/>
        <n v="545.72"/>
        <n v="914.5"/>
        <n v="339.94"/>
        <n v="206.92"/>
        <n v="336.29"/>
        <n v="911.03"/>
        <n v="720.18"/>
        <n v="602.51"/>
        <n v="996.6"/>
        <n v="373.64"/>
        <n v="792.57"/>
        <n v="956.44"/>
        <n v="916.1"/>
        <n v="93.31"/>
        <n v="576.28"/>
        <n v="89.52"/>
        <n v="381.12"/>
        <n v="686.02"/>
        <n v="585.80999999999995"/>
        <n v="28.26"/>
        <n v="858.99"/>
        <n v="373.68"/>
        <n v="937.41"/>
        <n v="960.72"/>
        <n v="988.9"/>
        <n v="890.34"/>
        <n v="838.89"/>
        <n v="90.18"/>
        <n v="693.38"/>
        <n v="904.55"/>
        <n v="446.66"/>
        <n v="561.22"/>
        <n v="227.29"/>
        <n v="129.15"/>
        <n v="105.91"/>
        <n v="833.94"/>
        <n v="10.55"/>
        <n v="744.8"/>
        <n v="114.02"/>
        <n v="113.95"/>
        <n v="390.19"/>
        <n v="418.17"/>
        <n v="536.08000000000004"/>
        <n v="857.55"/>
        <n v="800.23"/>
        <n v="526.92999999999995"/>
        <n v="97.57"/>
        <n v="438.29"/>
        <n v="937.74"/>
        <n v="261.19"/>
        <n v="155.84"/>
        <n v="761.38"/>
        <n v="693.41"/>
        <n v="319.06"/>
        <n v="451.5"/>
        <n v="497.38"/>
        <n v="556.73"/>
        <n v="414.41"/>
        <n v="450.18"/>
        <n v="992.76"/>
        <n v="797.39"/>
        <n v="651.04"/>
        <n v="862.64"/>
        <n v="915.73"/>
        <n v="445.47"/>
        <n v="789.92"/>
        <n v="951.99"/>
        <n v="345.34"/>
        <n v="119.16"/>
        <n v="649.87"/>
        <n v="141.43"/>
        <n v="753.6"/>
        <n v="210.03"/>
        <n v="992.01"/>
        <n v="148.15"/>
        <n v="577.39"/>
        <n v="98.45"/>
        <n v="734.65"/>
        <n v="485.93"/>
        <n v="505.47"/>
        <n v="769.34"/>
        <n v="939.94"/>
        <n v="18.7"/>
        <n v="892.85"/>
        <n v="85.21"/>
        <n v="20.83"/>
        <n v="800.02"/>
        <n v="525.36"/>
        <n v="164.46"/>
        <n v="452.93"/>
        <n v="729.83"/>
        <n v="138.24"/>
        <n v="901.01"/>
        <n v="780.69"/>
        <n v="280.56"/>
        <n v="437.25"/>
        <n v="902.78"/>
        <n v="687.38"/>
        <n v="436.79"/>
        <n v="991.95"/>
        <n v="247.97"/>
        <n v="895.77"/>
        <n v="628.29"/>
        <n v="40.799999999999997"/>
        <n v="709.87"/>
        <n v="450.31"/>
        <n v="577.20000000000005"/>
        <n v="431.46"/>
        <n v="62.68"/>
        <n v="988.05"/>
        <n v="156.46"/>
        <n v="32.9"/>
        <n v="443.75"/>
        <n v="62.7"/>
        <n v="278.60000000000002"/>
        <n v="213.48"/>
        <n v="90.11"/>
        <n v="108.7"/>
        <n v="75.06"/>
        <n v="511.65"/>
        <n v="535.87"/>
        <n v="585.78"/>
        <n v="873.58"/>
        <n v="73.459999999999994"/>
        <n v="793.46"/>
        <n v="409.43"/>
        <n v="351.86"/>
        <n v="933.37"/>
        <n v="333.92"/>
        <n v="904.57"/>
        <n v="225.51"/>
        <n v="664.52"/>
        <n v="486.49"/>
        <n v="127.23"/>
        <n v="121.96"/>
        <n v="267.64"/>
        <n v="298.02999999999997"/>
        <n v="604.72"/>
        <n v="749.05"/>
        <n v="499.34"/>
        <n v="590.85"/>
        <n v="355.6"/>
        <n v="266.97000000000003"/>
        <n v="160.08000000000001"/>
        <n v="827.64"/>
        <n v="19.829999999999998"/>
        <n v="989.49"/>
        <n v="133.9"/>
        <n v="739.33"/>
        <n v="947.83"/>
        <n v="743.44"/>
        <n v="534.79"/>
        <n v="479.56"/>
        <n v="87.89"/>
        <n v="571.61"/>
        <n v="485.1"/>
        <n v="289.68"/>
        <n v="962.48"/>
        <n v="13.19"/>
        <n v="298.81"/>
        <n v="916.49"/>
        <n v="15.96"/>
        <n v="383.65"/>
        <n v="612.25"/>
        <n v="142"/>
        <n v="685.35"/>
        <n v="358.46"/>
        <n v="310.35000000000002"/>
        <n v="610.75"/>
        <n v="523.61"/>
        <n v="945.17"/>
        <n v="708.97"/>
        <n v="309.87"/>
        <n v="565.48"/>
        <n v="859.52"/>
        <n v="140.02000000000001"/>
        <n v="626.35"/>
        <n v="807.32"/>
        <n v="888.55"/>
        <n v="440.85"/>
        <n v="652.97"/>
        <n v="725.44"/>
        <n v="843.66"/>
        <n v="611.79999999999995"/>
        <n v="712.12"/>
        <n v="941.33"/>
        <n v="112.15"/>
        <n v="284.7"/>
        <n v="694.09"/>
        <n v="102.98"/>
        <n v="398.32"/>
        <n v="576.07000000000005"/>
        <n v="51.79"/>
        <n v="426.31"/>
        <n v="808.65"/>
        <n v="970.37"/>
        <n v="67.540000000000006"/>
        <n v="813.14"/>
        <n v="944.07"/>
        <n v="401.12"/>
        <n v="775.63"/>
        <n v="963.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5.815640393521" createdVersion="8" refreshedVersion="8" minRefreshableVersion="3" recordCount="1001" xr:uid="{2349670C-C904-4CB7-85E7-5673D08368A4}">
  <cacheSource type="worksheet">
    <worksheetSource ref="A1:H1038" sheet="defects_data (2)"/>
  </cacheSource>
  <cacheFields count="8">
    <cacheField name="defect_id" numFmtId="0">
      <sharedItems containsString="0" containsBlank="1" containsNumber="1" containsInteger="1" minValue="1" maxValue="1000"/>
    </cacheField>
    <cacheField name="product_id" numFmtId="0">
      <sharedItems containsString="0" containsBlank="1" containsNumber="1" containsInteger="1" minValue="1" maxValue="100" count="101">
        <n v="15"/>
        <n v="6"/>
        <n v="84"/>
        <n v="10"/>
        <n v="14"/>
        <n v="17"/>
        <n v="85"/>
        <n v="90"/>
        <n v="30"/>
        <n v="20"/>
        <n v="45"/>
        <n v="86"/>
        <n v="87"/>
        <n v="72"/>
        <n v="74"/>
        <n v="53"/>
        <n v="63"/>
        <n v="28"/>
        <n v="81"/>
        <n v="67"/>
        <n v="33"/>
        <n v="13"/>
        <n v="39"/>
        <n v="60"/>
        <n v="42"/>
        <n v="3"/>
        <n v="25"/>
        <n v="58"/>
        <n v="48"/>
        <n v="68"/>
        <n v="51"/>
        <n v="12"/>
        <n v="92"/>
        <n v="49"/>
        <n v="24"/>
        <n v="64"/>
        <n v="36"/>
        <n v="79"/>
        <n v="65"/>
        <n v="9"/>
        <n v="7"/>
        <n v="62"/>
        <n v="29"/>
        <n v="73"/>
        <n v="5"/>
        <n v="43"/>
        <n v="52"/>
        <n v="2"/>
        <n v="22"/>
        <n v="31"/>
        <n v="11"/>
        <n v="71"/>
        <n v="35"/>
        <n v="69"/>
        <n v="75"/>
        <n v="70"/>
        <n v="98"/>
        <n v="93"/>
        <n v="56"/>
        <n v="8"/>
        <n v="27"/>
        <n v="1"/>
        <n v="97"/>
        <n v="44"/>
        <n v="83"/>
        <n v="66"/>
        <n v="99"/>
        <n v="80"/>
        <n v="100"/>
        <n v="61"/>
        <n v="41"/>
        <n v="96"/>
        <n v="77"/>
        <n v="91"/>
        <n v="34"/>
        <n v="4"/>
        <n v="21"/>
        <n v="95"/>
        <n v="18"/>
        <n v="76"/>
        <n v="78"/>
        <n v="82"/>
        <n v="59"/>
        <n v="38"/>
        <n v="23"/>
        <n v="89"/>
        <n v="88"/>
        <n v="47"/>
        <n v="54"/>
        <n v="57"/>
        <n v="37"/>
        <n v="94"/>
        <n v="46"/>
        <n v="19"/>
        <n v="16"/>
        <n v="40"/>
        <n v="32"/>
        <n v="26"/>
        <n v="50"/>
        <n v="55"/>
        <m/>
      </sharedItems>
    </cacheField>
    <cacheField name="defect_type" numFmtId="0">
      <sharedItems containsBlank="1"/>
    </cacheField>
    <cacheField name="defect_date" numFmtId="0">
      <sharedItems containsDate="1" containsBlank="1" containsMixedTypes="1" minDate="2024-01-01T00:00:00" maxDate="2024-12-07T00:00:00"/>
    </cacheField>
    <cacheField name="defect_location" numFmtId="0">
      <sharedItems containsBlank="1"/>
    </cacheField>
    <cacheField name="severity" numFmtId="0">
      <sharedItems containsBlank="1"/>
    </cacheField>
    <cacheField name="inspection_method" numFmtId="0">
      <sharedItems containsBlank="1"/>
    </cacheField>
    <cacheField name="repair_cost" numFmtId="0">
      <sharedItems containsString="0" containsBlank="1" containsNumber="1" minValue="10.220000000000001" maxValue="999.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5.842601736113" createdVersion="8" refreshedVersion="8" minRefreshableVersion="3" recordCount="1000" xr:uid="{8680A616-C1E4-4892-A4B4-1F5902E29C49}">
  <cacheSource type="worksheet">
    <worksheetSource ref="A1:I1001" sheet="pivot table 1"/>
  </cacheSource>
  <cacheFields count="9">
    <cacheField name="defect_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product_id" numFmtId="0">
      <sharedItems containsSemiMixedTypes="0" containsString="0" containsNumber="1" containsInteger="1" minValue="1" maxValue="100" count="100">
        <n v="15"/>
        <n v="6"/>
        <n v="84"/>
        <n v="10"/>
        <n v="14"/>
        <n v="17"/>
        <n v="85"/>
        <n v="90"/>
        <n v="30"/>
        <n v="20"/>
        <n v="45"/>
        <n v="86"/>
        <n v="87"/>
        <n v="72"/>
        <n v="74"/>
        <n v="53"/>
        <n v="63"/>
        <n v="28"/>
        <n v="81"/>
        <n v="67"/>
        <n v="33"/>
        <n v="13"/>
        <n v="39"/>
        <n v="60"/>
        <n v="42"/>
        <n v="3"/>
        <n v="25"/>
        <n v="58"/>
        <n v="48"/>
        <n v="68"/>
        <n v="51"/>
        <n v="12"/>
        <n v="92"/>
        <n v="49"/>
        <n v="24"/>
        <n v="64"/>
        <n v="36"/>
        <n v="79"/>
        <n v="65"/>
        <n v="9"/>
        <n v="7"/>
        <n v="62"/>
        <n v="29"/>
        <n v="73"/>
        <n v="5"/>
        <n v="43"/>
        <n v="52"/>
        <n v="2"/>
        <n v="22"/>
        <n v="31"/>
        <n v="11"/>
        <n v="71"/>
        <n v="35"/>
        <n v="69"/>
        <n v="75"/>
        <n v="70"/>
        <n v="98"/>
        <n v="93"/>
        <n v="56"/>
        <n v="8"/>
        <n v="27"/>
        <n v="1"/>
        <n v="97"/>
        <n v="44"/>
        <n v="83"/>
        <n v="66"/>
        <n v="99"/>
        <n v="80"/>
        <n v="100"/>
        <n v="61"/>
        <n v="41"/>
        <n v="96"/>
        <n v="77"/>
        <n v="91"/>
        <n v="34"/>
        <n v="4"/>
        <n v="21"/>
        <n v="95"/>
        <n v="18"/>
        <n v="76"/>
        <n v="78"/>
        <n v="82"/>
        <n v="59"/>
        <n v="38"/>
        <n v="23"/>
        <n v="89"/>
        <n v="88"/>
        <n v="47"/>
        <n v="54"/>
        <n v="57"/>
        <n v="37"/>
        <n v="94"/>
        <n v="46"/>
        <n v="19"/>
        <n v="16"/>
        <n v="40"/>
        <n v="32"/>
        <n v="26"/>
        <n v="50"/>
        <n v="55"/>
      </sharedItems>
    </cacheField>
    <cacheField name="defect_type" numFmtId="0">
      <sharedItems count="3">
        <s v="Structural"/>
        <s v="Functional"/>
        <s v="Cosmetic"/>
      </sharedItems>
    </cacheField>
    <cacheField name="defect_date" numFmtId="14">
      <sharedItems containsSemiMixedTypes="0" containsNonDate="0" containsDate="1" containsString="0" minDate="2024-01-01T00:00:00" maxDate="2024-07-01T00:00:00"/>
    </cacheField>
    <cacheField name="defect_location" numFmtId="0">
      <sharedItems/>
    </cacheField>
    <cacheField name="severity" numFmtId="0">
      <sharedItems count="3">
        <s v="Minor"/>
        <s v="Critical"/>
        <s v="Moderate"/>
      </sharedItems>
    </cacheField>
    <cacheField name="inspection_method" numFmtId="0">
      <sharedItems count="3">
        <s v="Visual Inspection"/>
        <s v="Automated Testing"/>
        <s v="Manual Testing"/>
      </sharedItems>
    </cacheField>
    <cacheField name="repair_cost" numFmtId="0">
      <sharedItems containsSemiMixedTypes="0" containsString="0" containsNumber="1" minValue="10.220000000000001" maxValue="999.64" count="996">
        <n v="245.47"/>
        <n v="26.87"/>
        <n v="835.81"/>
        <n v="444.47"/>
        <n v="823.64"/>
        <n v="788.11"/>
        <n v="33.68"/>
        <n v="65.56"/>
        <n v="848.61"/>
        <n v="478.48"/>
        <n v="217.96"/>
        <n v="485.02"/>
        <n v="714.63"/>
        <n v="603.94000000000005"/>
        <n v="189.55"/>
        <n v="458.79"/>
        <n v="509.35"/>
        <n v="538.99"/>
        <n v="34.93"/>
        <n v="557.11"/>
        <n v="831.43"/>
        <n v="504.9"/>
        <n v="349.23"/>
        <n v="560.39"/>
        <n v="629.71"/>
        <n v="975.44"/>
        <n v="737.54"/>
        <n v="592.87"/>
        <n v="99.82"/>
        <n v="106.34"/>
        <n v="352.58"/>
        <n v="734.12"/>
        <n v="953.54"/>
        <n v="753.89"/>
        <n v="955.91"/>
        <n v="776.91"/>
        <n v="607.96"/>
        <n v="107.7"/>
        <n v="27.24"/>
        <n v="370.83"/>
        <n v="526.08000000000004"/>
        <n v="144.38"/>
        <n v="534.33000000000004"/>
        <n v="456.8"/>
        <n v="215.01"/>
        <n v="824.3"/>
        <n v="769.28"/>
        <n v="160.25"/>
        <n v="386.17"/>
        <n v="572.08000000000004"/>
        <n v="433.85"/>
        <n v="338.1"/>
        <n v="93.13"/>
        <n v="308.37"/>
        <n v="396.58"/>
        <n v="957.6"/>
        <n v="205.19"/>
        <n v="300.27"/>
        <n v="671.22"/>
        <n v="395.1"/>
        <n v="675.89"/>
        <n v="523.02"/>
        <n v="337.5"/>
        <n v="830.89"/>
        <n v="84.97"/>
        <n v="771.96"/>
        <n v="46.43"/>
        <n v="31.91"/>
        <n v="845.8"/>
        <n v="729.55"/>
        <n v="187.03"/>
        <n v="470.35"/>
        <n v="662.35"/>
        <n v="509.97"/>
        <n v="352.33"/>
        <n v="228.22"/>
        <n v="632.45000000000005"/>
        <n v="975.87"/>
        <n v="967.14"/>
        <n v="992.69"/>
        <n v="827.74"/>
        <n v="270.97000000000003"/>
        <n v="712.98"/>
        <n v="556.04999999999995"/>
        <n v="200.11"/>
        <n v="660.05"/>
        <n v="220.96"/>
        <n v="776.54"/>
        <n v="920.26"/>
        <n v="492.22"/>
        <n v="513.45000000000005"/>
        <n v="286.27999999999997"/>
        <n v="698.89"/>
        <n v="555.25"/>
        <n v="465.92"/>
        <n v="732.13"/>
        <n v="582.46"/>
        <n v="647.70000000000005"/>
        <n v="536.57000000000005"/>
        <n v="673.85"/>
        <n v="871.1"/>
        <n v="973.66"/>
        <n v="787.42"/>
        <n v="338.48"/>
        <n v="922.07"/>
        <n v="137.41"/>
        <n v="17.89"/>
        <n v="210.3"/>
        <n v="978.5"/>
        <n v="381.15"/>
        <n v="302.42"/>
        <n v="813.46"/>
        <n v="998.27"/>
        <n v="498.47"/>
        <n v="362.23"/>
        <n v="194.79"/>
        <n v="677.65"/>
        <n v="310.8"/>
        <n v="717.21"/>
        <n v="641.58000000000004"/>
        <n v="520.84"/>
        <n v="271.18"/>
        <n v="657.81"/>
        <n v="620.66"/>
        <n v="533.03"/>
        <n v="21.77"/>
        <n v="302.22000000000003"/>
        <n v="895.38"/>
        <n v="241.61"/>
        <n v="878.46"/>
        <n v="268.08"/>
        <n v="492.32"/>
        <n v="379.78"/>
        <n v="498.71"/>
        <n v="379.01"/>
        <n v="79.52"/>
        <n v="602.25"/>
        <n v="575.71"/>
        <n v="760.33"/>
        <n v="955.54"/>
        <n v="679.88"/>
        <n v="71.91"/>
        <n v="916.79"/>
        <n v="558.34"/>
        <n v="23.02"/>
        <n v="346.23"/>
        <n v="926.31"/>
        <n v="783.88"/>
        <n v="747.18"/>
        <n v="415.84"/>
        <n v="502.15"/>
        <n v="94.7"/>
        <n v="426.04"/>
        <n v="380.52"/>
        <n v="935.64"/>
        <n v="595.9"/>
        <n v="788.22"/>
        <n v="465.74"/>
        <n v="661.8"/>
        <n v="532.77"/>
        <n v="612.03"/>
        <n v="614.11"/>
        <n v="238.39"/>
        <n v="986.51"/>
        <n v="796.76"/>
        <n v="105.27"/>
        <n v="950.97"/>
        <n v="517.41"/>
        <n v="789.62"/>
        <n v="942.03"/>
        <n v="352.05"/>
        <n v="10.220000000000001"/>
        <n v="932.23"/>
        <n v="715.22"/>
        <n v="999.64"/>
        <n v="952.49"/>
        <n v="174.76"/>
        <n v="755.15"/>
        <n v="532.6"/>
        <n v="854.25"/>
        <n v="383.83"/>
        <n v="80"/>
        <n v="970.31"/>
        <n v="517.63"/>
        <n v="81.33"/>
        <n v="540.91999999999996"/>
        <n v="280.77"/>
        <n v="87.28"/>
        <n v="306.56"/>
        <n v="86.46"/>
        <n v="13.03"/>
        <n v="525.07000000000005"/>
        <n v="219.71"/>
        <n v="192.21"/>
        <n v="924.13"/>
        <n v="65.23"/>
        <n v="481.7"/>
        <n v="561.27"/>
        <n v="169.54"/>
        <n v="629.38"/>
        <n v="783.36"/>
        <n v="102.88"/>
        <n v="269.04000000000002"/>
        <n v="257.33"/>
        <n v="824.37"/>
        <n v="303.58999999999997"/>
        <n v="793.3"/>
        <n v="929.05"/>
        <n v="473.36"/>
        <n v="478.17"/>
        <n v="430.49"/>
        <n v="460.93"/>
        <n v="917.3"/>
        <n v="520.21"/>
        <n v="575.58000000000004"/>
        <n v="296.41000000000003"/>
        <n v="622.98"/>
        <n v="484.08"/>
        <n v="479.31"/>
        <n v="624.22"/>
        <n v="777.18"/>
        <n v="842.93"/>
        <n v="974.99"/>
        <n v="989.81"/>
        <n v="484.04"/>
        <n v="38.39"/>
        <n v="334.53"/>
        <n v="580.74"/>
        <n v="638.28"/>
        <n v="727.86"/>
        <n v="117.74"/>
        <n v="891.94"/>
        <n v="440.58"/>
        <n v="310.95999999999998"/>
        <n v="430.74"/>
        <n v="47.99"/>
        <n v="728.13"/>
        <n v="890.35"/>
        <n v="356.55"/>
        <n v="271.51"/>
        <n v="288.31"/>
        <n v="663.49"/>
        <n v="711.77"/>
        <n v="822.12"/>
        <n v="889.52"/>
        <n v="471.55"/>
        <n v="136.69"/>
        <n v="148.61000000000001"/>
        <n v="768.39"/>
        <n v="545.52"/>
        <n v="978.58"/>
        <n v="62.59"/>
        <n v="146.53"/>
        <n v="168.3"/>
        <n v="225.2"/>
        <n v="875.37"/>
        <n v="772.77"/>
        <n v="617.12"/>
        <n v="900.61"/>
        <n v="159.25"/>
        <n v="16.62"/>
        <n v="906.96"/>
        <n v="446.61"/>
        <n v="406.06"/>
        <n v="286.25"/>
        <n v="319.60000000000002"/>
        <n v="798.16"/>
        <n v="674.23"/>
        <n v="940.48"/>
        <n v="42.63"/>
        <n v="433.02"/>
        <n v="606.91"/>
        <n v="129.41"/>
        <n v="444.1"/>
        <n v="634.26"/>
        <n v="672.89"/>
        <n v="557.66999999999996"/>
        <n v="272.52999999999997"/>
        <n v="503.24"/>
        <n v="611.37"/>
        <n v="501.54"/>
        <n v="290.23"/>
        <n v="195.84"/>
        <n v="88.05"/>
        <n v="97.99"/>
        <n v="349.24"/>
        <n v="421.51"/>
        <n v="422.77"/>
        <n v="925.03"/>
        <n v="319.58"/>
        <n v="556.41999999999996"/>
        <n v="818.54"/>
        <n v="320.62"/>
        <n v="178.82"/>
        <n v="237.65"/>
        <n v="658.16"/>
        <n v="326.58"/>
        <n v="301.61"/>
        <n v="357.56"/>
        <n v="358.21"/>
        <n v="89.91"/>
        <n v="18.420000000000002"/>
        <n v="294.31"/>
        <n v="865.96"/>
        <n v="578.28"/>
        <n v="495.87"/>
        <n v="728.39"/>
        <n v="949.72"/>
        <n v="56.12"/>
        <n v="56.35"/>
        <n v="651.35"/>
        <n v="471.27"/>
        <n v="732.6"/>
        <n v="865.3"/>
        <n v="49.2"/>
        <n v="567.72"/>
        <n v="490.53"/>
        <n v="11.38"/>
        <n v="409.72"/>
        <n v="515.07000000000005"/>
        <n v="42.44"/>
        <n v="883.58"/>
        <n v="624.98"/>
        <n v="195.74"/>
        <n v="241.22"/>
        <n v="441.18"/>
        <n v="274.08999999999997"/>
        <n v="268.52"/>
        <n v="170.44"/>
        <n v="386.43"/>
        <n v="970.98"/>
        <n v="751.73"/>
        <n v="285.85000000000002"/>
        <n v="478.75"/>
        <n v="884.79"/>
        <n v="44.73"/>
        <n v="952.79"/>
        <n v="959.59"/>
        <n v="312.25"/>
        <n v="658.47"/>
        <n v="243.25"/>
        <n v="199.65"/>
        <n v="471.43"/>
        <n v="756.85"/>
        <n v="369.06"/>
        <n v="326.19"/>
        <n v="22.07"/>
        <n v="825.33"/>
        <n v="697.77"/>
        <n v="417.1"/>
        <n v="74.81"/>
        <n v="104.54"/>
        <n v="480.07"/>
        <n v="842.37"/>
        <n v="422.03"/>
        <n v="161.41"/>
        <n v="361.26"/>
        <n v="999.25"/>
        <n v="495.53"/>
        <n v="40.89"/>
        <n v="444.31"/>
        <n v="739.69"/>
        <n v="577.64"/>
        <n v="230.65"/>
        <n v="692.1"/>
        <n v="378.29"/>
        <n v="584.9"/>
        <n v="39.01"/>
        <n v="899.07"/>
        <n v="96.04"/>
        <n v="269.99"/>
        <n v="996.49"/>
        <n v="573.22"/>
        <n v="694.03"/>
        <n v="963.03"/>
        <n v="118.46"/>
        <n v="773.47"/>
        <n v="180.86"/>
        <n v="18.61"/>
        <n v="176.96"/>
        <n v="32.44"/>
        <n v="351.27"/>
        <n v="303.16000000000003"/>
        <n v="404.15"/>
        <n v="800.76"/>
        <n v="321.45"/>
        <n v="510.38"/>
        <n v="883.92"/>
        <n v="918.87"/>
        <n v="564.46"/>
        <n v="889.4"/>
        <n v="197.87"/>
        <n v="786.6"/>
        <n v="740.36"/>
        <n v="667.24"/>
        <n v="77.72"/>
        <n v="106.59"/>
        <n v="529.16"/>
        <n v="94.34"/>
        <n v="97.53"/>
        <n v="500.88"/>
        <n v="477.42"/>
        <n v="810.57"/>
        <n v="945.16"/>
        <n v="325.31"/>
        <n v="810.44"/>
        <n v="623.76"/>
        <n v="375.28"/>
        <n v="474.48"/>
        <n v="636.39"/>
        <n v="957.36"/>
        <n v="66.98"/>
        <n v="608.64"/>
        <n v="75.930000000000007"/>
        <n v="477.58"/>
        <n v="252.11"/>
        <n v="987.71"/>
        <n v="464.04"/>
        <n v="694.29"/>
        <n v="829.49"/>
        <n v="466.04"/>
        <n v="101.05"/>
        <n v="748.29"/>
        <n v="438.54"/>
        <n v="834.57"/>
        <n v="655.02"/>
        <n v="342.61"/>
        <n v="539.5"/>
        <n v="487.41"/>
        <n v="212.86"/>
        <n v="873.59"/>
        <n v="389.21"/>
        <n v="34.479999999999997"/>
        <n v="235.97"/>
        <n v="575.15"/>
        <n v="182.54"/>
        <n v="752.8"/>
        <n v="214.33"/>
        <n v="716.26"/>
        <n v="608.46"/>
        <n v="255.47"/>
        <n v="914.32"/>
        <n v="519.15"/>
        <n v="816.09"/>
        <n v="481.11"/>
        <n v="780.05"/>
        <n v="750.51"/>
        <n v="908.59"/>
        <n v="705.47"/>
        <n v="406.28"/>
        <n v="295.41000000000003"/>
        <n v="903.36"/>
        <n v="803.65"/>
        <n v="359.69"/>
        <n v="699.69"/>
        <n v="281.81"/>
        <n v="896.04"/>
        <n v="587.69000000000005"/>
        <n v="623.52"/>
        <n v="668.05"/>
        <n v="571.02"/>
        <n v="918.39"/>
        <n v="669.62"/>
        <n v="581.01"/>
        <n v="899.45"/>
        <n v="764.59"/>
        <n v="150.16"/>
        <n v="791.72"/>
        <n v="15.1"/>
        <n v="466.92"/>
        <n v="833.02"/>
        <n v="907.98"/>
        <n v="652.85"/>
        <n v="618.88"/>
        <n v="140.36000000000001"/>
        <n v="683.68"/>
        <n v="613.47"/>
        <n v="895.11"/>
        <n v="515.94000000000005"/>
        <n v="293.08999999999997"/>
        <n v="689.42"/>
        <n v="148.53"/>
        <n v="933.3"/>
        <n v="336.75"/>
        <n v="223.73"/>
        <n v="236.47"/>
        <n v="647.11"/>
        <n v="268.57"/>
        <n v="405.89"/>
        <n v="643.98"/>
        <n v="183.11"/>
        <n v="878.64"/>
        <n v="702.09"/>
        <n v="823.59"/>
        <n v="294.56"/>
        <n v="533.14"/>
        <n v="975.5"/>
        <n v="707.21"/>
        <n v="775.91"/>
        <n v="617.36"/>
        <n v="922.52"/>
        <n v="81.91"/>
        <n v="40.19"/>
        <n v="943.79"/>
        <n v="411.9"/>
        <n v="759.53"/>
        <n v="368.11"/>
        <n v="27.9"/>
        <n v="670.09"/>
        <n v="790.76"/>
        <n v="769.88"/>
        <n v="262.60000000000002"/>
        <n v="520.44000000000005"/>
        <n v="624.75"/>
        <n v="496.27"/>
        <n v="368.54"/>
        <n v="942.94"/>
        <n v="449.63"/>
        <n v="117.82"/>
        <n v="300.05"/>
        <n v="975.1"/>
        <n v="74.36"/>
        <n v="924.05"/>
        <n v="132.38999999999999"/>
        <n v="893.77"/>
        <n v="142.63999999999999"/>
        <n v="368.94"/>
        <n v="997.03"/>
        <n v="496.1"/>
        <n v="798.12"/>
        <n v="572.74"/>
        <n v="53.77"/>
        <n v="369.83"/>
        <n v="398.17"/>
        <n v="825.57"/>
        <n v="201.88"/>
        <n v="47.47"/>
        <n v="856.33"/>
        <n v="497.65"/>
        <n v="908.53"/>
        <n v="371.88"/>
        <n v="960.15"/>
        <n v="73.55"/>
        <n v="615.42999999999995"/>
        <n v="619.02"/>
        <n v="677.64"/>
        <n v="684.16"/>
        <n v="536.37"/>
        <n v="47.22"/>
        <n v="704.44"/>
        <n v="512.02"/>
        <n v="36.04"/>
        <n v="811.65"/>
        <n v="900.37"/>
        <n v="644.51"/>
        <n v="355.85"/>
        <n v="945.18"/>
        <n v="201.79"/>
        <n v="73"/>
        <n v="769.57"/>
        <n v="930.11"/>
        <n v="554.98"/>
        <n v="826.59"/>
        <n v="362.82"/>
        <n v="946.8"/>
        <n v="192.28"/>
        <n v="383.41"/>
        <n v="132.83000000000001"/>
        <n v="904.32"/>
        <n v="944.63"/>
        <n v="524.5"/>
        <n v="976.75"/>
        <n v="508.94"/>
        <n v="565.86"/>
        <n v="151.62"/>
        <n v="394.88"/>
        <n v="404.22"/>
        <n v="564.82000000000005"/>
        <n v="722.21"/>
        <n v="16.05"/>
        <n v="666.31"/>
        <n v="346.73"/>
        <n v="138.41999999999999"/>
        <n v="663.53"/>
        <n v="150.78"/>
        <n v="503.25"/>
        <n v="576.57000000000005"/>
        <n v="204.6"/>
        <n v="410.72"/>
        <n v="50.38"/>
        <n v="400.31"/>
        <n v="301.7"/>
        <n v="64.739999999999995"/>
        <n v="485.27"/>
        <n v="194.44"/>
        <n v="891.01"/>
        <n v="267.51"/>
        <n v="151.43"/>
        <n v="297.76"/>
        <n v="663.35"/>
        <n v="927.75"/>
        <n v="283.60000000000002"/>
        <n v="919.65"/>
        <n v="302.29000000000002"/>
        <n v="309.52999999999997"/>
        <n v="478.6"/>
        <n v="419.58"/>
        <n v="685.3"/>
        <n v="390.64"/>
        <n v="837.9"/>
        <n v="67.819999999999993"/>
        <n v="21.12"/>
        <n v="700.72"/>
        <n v="893.3"/>
        <n v="736.75"/>
        <n v="803.54"/>
        <n v="21.17"/>
        <n v="678.59"/>
        <n v="220.01"/>
        <n v="251.67"/>
        <n v="808.85"/>
        <n v="537.35"/>
        <n v="178.3"/>
        <n v="638.79999999999995"/>
        <n v="770.66"/>
        <n v="289.27"/>
        <n v="779.02"/>
        <n v="704.06"/>
        <n v="546.41999999999996"/>
        <n v="780.89"/>
        <n v="303.08"/>
        <n v="557.57000000000005"/>
        <n v="222.11"/>
        <n v="575.47"/>
        <n v="478.44"/>
        <n v="32.619999999999997"/>
        <n v="121.29"/>
        <n v="967.29"/>
        <n v="200.29"/>
        <n v="185"/>
        <n v="959.61"/>
        <n v="170.66"/>
        <n v="563.94000000000005"/>
        <n v="52.03"/>
        <n v="474.62"/>
        <n v="263.76"/>
        <n v="758.91"/>
        <n v="59.04"/>
        <n v="647.01"/>
        <n v="451.58"/>
        <n v="221.25"/>
        <n v="194.9"/>
        <n v="433.75"/>
        <n v="264.85000000000002"/>
        <n v="230.68"/>
        <n v="836.11"/>
        <n v="703.94"/>
        <n v="814.84"/>
        <n v="153.25"/>
        <n v="324.08999999999997"/>
        <n v="436.9"/>
        <n v="917.26"/>
        <n v="45.26"/>
        <n v="416.2"/>
        <n v="246.83"/>
        <n v="824.28"/>
        <n v="680.74"/>
        <n v="376.62"/>
        <n v="400.79"/>
        <n v="496.72"/>
        <n v="369.13"/>
        <n v="916.45"/>
        <n v="152.08000000000001"/>
        <n v="373.52"/>
        <n v="345.64"/>
        <n v="33.950000000000003"/>
        <n v="884.03"/>
        <n v="113.64"/>
        <n v="479.38"/>
        <n v="395.56"/>
        <n v="290.66000000000003"/>
        <n v="309.32"/>
        <n v="28.05"/>
        <n v="37.69"/>
        <n v="293.44"/>
        <n v="249.02"/>
        <n v="327.88"/>
        <n v="749.31"/>
        <n v="19.23"/>
        <n v="470.43"/>
        <n v="135.49"/>
        <n v="531.4"/>
        <n v="205.83"/>
        <n v="547.02"/>
        <n v="459.29"/>
        <n v="762.32"/>
        <n v="684.85"/>
        <n v="940.9"/>
        <n v="894.66"/>
        <n v="10.44"/>
        <n v="878.23"/>
        <n v="164.64"/>
        <n v="132.46"/>
        <n v="789.51"/>
        <n v="969.4"/>
        <n v="667.18"/>
        <n v="781.35"/>
        <n v="711.6"/>
        <n v="91.9"/>
        <n v="767.74"/>
        <n v="535.88"/>
        <n v="390.43"/>
        <n v="932.34"/>
        <n v="763.5"/>
        <n v="438.58"/>
        <n v="147.94"/>
        <n v="967.35"/>
        <n v="909.42"/>
        <n v="617.24"/>
        <n v="552"/>
        <n v="746.64"/>
        <n v="133.43"/>
        <n v="437.82"/>
        <n v="713.29"/>
        <n v="321.04000000000002"/>
        <n v="988.41"/>
        <n v="164.56"/>
        <n v="357.07"/>
        <n v="189.23"/>
        <n v="840.24"/>
        <n v="630.5"/>
        <n v="584.54"/>
        <n v="995.47"/>
        <n v="894.31"/>
        <n v="420.57"/>
        <n v="71.86"/>
        <n v="895.96"/>
        <n v="491.28"/>
        <n v="63.99"/>
        <n v="409.99"/>
        <n v="391.78"/>
        <n v="921.78"/>
        <n v="789.34"/>
        <n v="862.7"/>
        <n v="395.02"/>
        <n v="507.39"/>
        <n v="990.02"/>
        <n v="466.97"/>
        <n v="49.52"/>
        <n v="543.92999999999995"/>
        <n v="688.91"/>
        <n v="140.96"/>
        <n v="624.69000000000005"/>
        <n v="317.5"/>
        <n v="363.84"/>
        <n v="472.15"/>
        <n v="765.19"/>
        <n v="551.79"/>
        <n v="950.2"/>
        <n v="749.01"/>
        <n v="917.24"/>
        <n v="527.76"/>
        <n v="615.24"/>
        <n v="610.26"/>
        <n v="305.36"/>
        <n v="753.7"/>
        <n v="67.489999999999995"/>
        <n v="655.26"/>
        <n v="119.28"/>
        <n v="617.35"/>
        <n v="514.52"/>
        <n v="552.29999999999995"/>
        <n v="957.27"/>
        <n v="20.93"/>
        <n v="698.16"/>
        <n v="270.7"/>
        <n v="733.76"/>
        <n v="918.81"/>
        <n v="830.39"/>
        <n v="429.08"/>
        <n v="800.91"/>
        <n v="36.5"/>
        <n v="861.84"/>
        <n v="947.21"/>
        <n v="37.44"/>
        <n v="571.65"/>
        <n v="331.32"/>
        <n v="212.4"/>
        <n v="451.46"/>
        <n v="948.05"/>
        <n v="111.39"/>
        <n v="281.41000000000003"/>
        <n v="866.14"/>
        <n v="545.23"/>
        <n v="545.72"/>
        <n v="914.5"/>
        <n v="339.94"/>
        <n v="206.92"/>
        <n v="336.29"/>
        <n v="911.03"/>
        <n v="720.18"/>
        <n v="602.51"/>
        <n v="996.6"/>
        <n v="373.64"/>
        <n v="792.57"/>
        <n v="956.44"/>
        <n v="916.1"/>
        <n v="93.31"/>
        <n v="576.28"/>
        <n v="89.52"/>
        <n v="381.12"/>
        <n v="686.02"/>
        <n v="585.80999999999995"/>
        <n v="28.26"/>
        <n v="858.99"/>
        <n v="373.68"/>
        <n v="937.41"/>
        <n v="960.72"/>
        <n v="988.9"/>
        <n v="890.34"/>
        <n v="838.89"/>
        <n v="90.18"/>
        <n v="693.38"/>
        <n v="904.55"/>
        <n v="446.66"/>
        <n v="561.22"/>
        <n v="227.29"/>
        <n v="129.15"/>
        <n v="105.91"/>
        <n v="833.94"/>
        <n v="10.55"/>
        <n v="744.8"/>
        <n v="114.02"/>
        <n v="113.95"/>
        <n v="390.19"/>
        <n v="418.17"/>
        <n v="536.08000000000004"/>
        <n v="857.55"/>
        <n v="800.23"/>
        <n v="526.92999999999995"/>
        <n v="97.57"/>
        <n v="438.29"/>
        <n v="937.74"/>
        <n v="261.19"/>
        <n v="155.84"/>
        <n v="761.38"/>
        <n v="693.41"/>
        <n v="319.06"/>
        <n v="451.5"/>
        <n v="497.38"/>
        <n v="556.73"/>
        <n v="414.41"/>
        <n v="450.18"/>
        <n v="992.76"/>
        <n v="797.39"/>
        <n v="651.04"/>
        <n v="862.64"/>
        <n v="915.73"/>
        <n v="445.47"/>
        <n v="789.92"/>
        <n v="951.99"/>
        <n v="345.34"/>
        <n v="119.16"/>
        <n v="649.87"/>
        <n v="141.43"/>
        <n v="753.6"/>
        <n v="210.03"/>
        <n v="992.01"/>
        <n v="148.15"/>
        <n v="577.39"/>
        <n v="98.45"/>
        <n v="734.65"/>
        <n v="485.93"/>
        <n v="505.47"/>
        <n v="769.34"/>
        <n v="939.94"/>
        <n v="18.7"/>
        <n v="892.85"/>
        <n v="85.21"/>
        <n v="20.83"/>
        <n v="800.02"/>
        <n v="525.36"/>
        <n v="164.46"/>
        <n v="452.93"/>
        <n v="729.83"/>
        <n v="138.24"/>
        <n v="901.01"/>
        <n v="780.69"/>
        <n v="280.56"/>
        <n v="437.25"/>
        <n v="902.78"/>
        <n v="687.38"/>
        <n v="436.79"/>
        <n v="991.95"/>
        <n v="247.97"/>
        <n v="895.77"/>
        <n v="628.29"/>
        <n v="40.799999999999997"/>
        <n v="709.87"/>
        <n v="450.31"/>
        <n v="577.20000000000005"/>
        <n v="431.46"/>
        <n v="62.68"/>
        <n v="988.05"/>
        <n v="156.46"/>
        <n v="32.9"/>
        <n v="443.75"/>
        <n v="62.7"/>
        <n v="278.60000000000002"/>
        <n v="213.48"/>
        <n v="90.11"/>
        <n v="108.7"/>
        <n v="75.06"/>
        <n v="511.65"/>
        <n v="535.87"/>
        <n v="585.78"/>
        <n v="873.58"/>
        <n v="73.459999999999994"/>
        <n v="793.46"/>
        <n v="409.43"/>
        <n v="351.86"/>
        <n v="933.37"/>
        <n v="333.92"/>
        <n v="904.57"/>
        <n v="225.51"/>
        <n v="664.52"/>
        <n v="486.49"/>
        <n v="127.23"/>
        <n v="121.96"/>
        <n v="267.64"/>
        <n v="298.02999999999997"/>
        <n v="604.72"/>
        <n v="749.05"/>
        <n v="499.34"/>
        <n v="590.85"/>
        <n v="355.6"/>
        <n v="266.97000000000003"/>
        <n v="160.08000000000001"/>
        <n v="827.64"/>
        <n v="19.829999999999998"/>
        <n v="989.49"/>
        <n v="133.9"/>
        <n v="739.33"/>
        <n v="947.83"/>
        <n v="743.44"/>
        <n v="534.79"/>
        <n v="479.56"/>
        <n v="87.89"/>
        <n v="571.61"/>
        <n v="485.1"/>
        <n v="289.68"/>
        <n v="962.48"/>
        <n v="13.19"/>
        <n v="298.81"/>
        <n v="916.49"/>
        <n v="15.96"/>
        <n v="383.65"/>
        <n v="612.25"/>
        <n v="142"/>
        <n v="685.35"/>
        <n v="358.46"/>
        <n v="310.35000000000002"/>
        <n v="610.75"/>
        <n v="523.61"/>
        <n v="945.17"/>
        <n v="708.97"/>
        <n v="309.87"/>
        <n v="565.48"/>
        <n v="859.52"/>
        <n v="140.02000000000001"/>
        <n v="626.35"/>
        <n v="807.32"/>
        <n v="888.55"/>
        <n v="440.85"/>
        <n v="652.97"/>
        <n v="725.44"/>
        <n v="843.66"/>
        <n v="611.79999999999995"/>
        <n v="712.12"/>
        <n v="941.33"/>
        <n v="112.15"/>
        <n v="284.7"/>
        <n v="694.09"/>
        <n v="102.98"/>
        <n v="398.32"/>
        <n v="576.07000000000005"/>
        <n v="51.79"/>
        <n v="426.31"/>
        <n v="808.65"/>
        <n v="970.37"/>
        <n v="67.540000000000006"/>
        <n v="813.14"/>
        <n v="944.07"/>
        <n v="401.12"/>
        <n v="775.63"/>
        <n v="963.4"/>
      </sharedItems>
    </cacheField>
    <cacheField name="Month " numFmtId="0">
      <sharedItems count="6">
        <s v="Jun/2024"/>
        <s v="Apr/2024"/>
        <s v="Feb/2024"/>
        <s v="Mar/2024"/>
        <s v="May/2024"/>
        <s v="Jan/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15"/>
    <x v="0"/>
    <x v="0"/>
    <x v="0"/>
    <x v="0"/>
    <x v="0"/>
    <x v="0"/>
  </r>
  <r>
    <x v="1"/>
    <n v="6"/>
    <x v="1"/>
    <x v="1"/>
    <x v="0"/>
    <x v="0"/>
    <x v="0"/>
    <x v="1"/>
  </r>
  <r>
    <x v="2"/>
    <n v="84"/>
    <x v="0"/>
    <x v="2"/>
    <x v="1"/>
    <x v="0"/>
    <x v="1"/>
    <x v="2"/>
  </r>
  <r>
    <x v="3"/>
    <n v="10"/>
    <x v="1"/>
    <x v="3"/>
    <x v="1"/>
    <x v="1"/>
    <x v="1"/>
    <x v="3"/>
  </r>
  <r>
    <x v="4"/>
    <n v="14"/>
    <x v="2"/>
    <x v="1"/>
    <x v="0"/>
    <x v="0"/>
    <x v="2"/>
    <x v="4"/>
  </r>
  <r>
    <x v="5"/>
    <n v="17"/>
    <x v="1"/>
    <x v="4"/>
    <x v="1"/>
    <x v="2"/>
    <x v="0"/>
    <x v="5"/>
  </r>
  <r>
    <x v="6"/>
    <n v="85"/>
    <x v="2"/>
    <x v="5"/>
    <x v="1"/>
    <x v="1"/>
    <x v="2"/>
    <x v="6"/>
  </r>
  <r>
    <x v="7"/>
    <n v="90"/>
    <x v="0"/>
    <x v="6"/>
    <x v="1"/>
    <x v="2"/>
    <x v="2"/>
    <x v="7"/>
  </r>
  <r>
    <x v="8"/>
    <n v="30"/>
    <x v="0"/>
    <x v="7"/>
    <x v="0"/>
    <x v="1"/>
    <x v="2"/>
    <x v="8"/>
  </r>
  <r>
    <x v="9"/>
    <n v="20"/>
    <x v="0"/>
    <x v="8"/>
    <x v="0"/>
    <x v="1"/>
    <x v="0"/>
    <x v="9"/>
  </r>
  <r>
    <x v="10"/>
    <n v="45"/>
    <x v="0"/>
    <x v="9"/>
    <x v="2"/>
    <x v="2"/>
    <x v="1"/>
    <x v="10"/>
  </r>
  <r>
    <x v="11"/>
    <n v="86"/>
    <x v="0"/>
    <x v="10"/>
    <x v="0"/>
    <x v="0"/>
    <x v="2"/>
    <x v="11"/>
  </r>
  <r>
    <x v="12"/>
    <n v="87"/>
    <x v="2"/>
    <x v="11"/>
    <x v="0"/>
    <x v="0"/>
    <x v="0"/>
    <x v="12"/>
  </r>
  <r>
    <x v="13"/>
    <n v="72"/>
    <x v="2"/>
    <x v="12"/>
    <x v="2"/>
    <x v="1"/>
    <x v="2"/>
    <x v="13"/>
  </r>
  <r>
    <x v="14"/>
    <n v="74"/>
    <x v="2"/>
    <x v="13"/>
    <x v="0"/>
    <x v="1"/>
    <x v="2"/>
    <x v="14"/>
  </r>
  <r>
    <x v="15"/>
    <n v="10"/>
    <x v="1"/>
    <x v="14"/>
    <x v="0"/>
    <x v="0"/>
    <x v="1"/>
    <x v="15"/>
  </r>
  <r>
    <x v="16"/>
    <n v="53"/>
    <x v="0"/>
    <x v="15"/>
    <x v="1"/>
    <x v="0"/>
    <x v="0"/>
    <x v="16"/>
  </r>
  <r>
    <x v="17"/>
    <n v="63"/>
    <x v="2"/>
    <x v="16"/>
    <x v="0"/>
    <x v="1"/>
    <x v="0"/>
    <x v="17"/>
  </r>
  <r>
    <x v="18"/>
    <n v="28"/>
    <x v="1"/>
    <x v="2"/>
    <x v="1"/>
    <x v="1"/>
    <x v="2"/>
    <x v="18"/>
  </r>
  <r>
    <x v="19"/>
    <n v="81"/>
    <x v="0"/>
    <x v="17"/>
    <x v="1"/>
    <x v="2"/>
    <x v="2"/>
    <x v="19"/>
  </r>
  <r>
    <x v="20"/>
    <n v="67"/>
    <x v="1"/>
    <x v="13"/>
    <x v="2"/>
    <x v="0"/>
    <x v="0"/>
    <x v="20"/>
  </r>
  <r>
    <x v="21"/>
    <n v="6"/>
    <x v="0"/>
    <x v="18"/>
    <x v="2"/>
    <x v="0"/>
    <x v="0"/>
    <x v="21"/>
  </r>
  <r>
    <x v="22"/>
    <n v="33"/>
    <x v="0"/>
    <x v="19"/>
    <x v="2"/>
    <x v="2"/>
    <x v="1"/>
    <x v="22"/>
  </r>
  <r>
    <x v="23"/>
    <n v="15"/>
    <x v="0"/>
    <x v="20"/>
    <x v="0"/>
    <x v="1"/>
    <x v="0"/>
    <x v="23"/>
  </r>
  <r>
    <x v="24"/>
    <n v="13"/>
    <x v="2"/>
    <x v="21"/>
    <x v="2"/>
    <x v="2"/>
    <x v="2"/>
    <x v="24"/>
  </r>
  <r>
    <x v="25"/>
    <n v="39"/>
    <x v="0"/>
    <x v="22"/>
    <x v="0"/>
    <x v="2"/>
    <x v="0"/>
    <x v="25"/>
  </r>
  <r>
    <x v="26"/>
    <n v="60"/>
    <x v="2"/>
    <x v="12"/>
    <x v="0"/>
    <x v="2"/>
    <x v="2"/>
    <x v="26"/>
  </r>
  <r>
    <x v="27"/>
    <n v="42"/>
    <x v="0"/>
    <x v="23"/>
    <x v="0"/>
    <x v="1"/>
    <x v="2"/>
    <x v="27"/>
  </r>
  <r>
    <x v="28"/>
    <n v="3"/>
    <x v="0"/>
    <x v="24"/>
    <x v="0"/>
    <x v="2"/>
    <x v="1"/>
    <x v="28"/>
  </r>
  <r>
    <x v="29"/>
    <n v="17"/>
    <x v="1"/>
    <x v="25"/>
    <x v="2"/>
    <x v="1"/>
    <x v="0"/>
    <x v="29"/>
  </r>
  <r>
    <x v="30"/>
    <n v="30"/>
    <x v="0"/>
    <x v="26"/>
    <x v="2"/>
    <x v="1"/>
    <x v="1"/>
    <x v="30"/>
  </r>
  <r>
    <x v="31"/>
    <n v="25"/>
    <x v="0"/>
    <x v="27"/>
    <x v="2"/>
    <x v="2"/>
    <x v="0"/>
    <x v="31"/>
  </r>
  <r>
    <x v="32"/>
    <n v="14"/>
    <x v="2"/>
    <x v="28"/>
    <x v="1"/>
    <x v="0"/>
    <x v="0"/>
    <x v="32"/>
  </r>
  <r>
    <x v="33"/>
    <n v="58"/>
    <x v="0"/>
    <x v="29"/>
    <x v="2"/>
    <x v="1"/>
    <x v="2"/>
    <x v="33"/>
  </r>
  <r>
    <x v="34"/>
    <n v="48"/>
    <x v="1"/>
    <x v="30"/>
    <x v="0"/>
    <x v="1"/>
    <x v="1"/>
    <x v="34"/>
  </r>
  <r>
    <x v="35"/>
    <n v="20"/>
    <x v="0"/>
    <x v="31"/>
    <x v="2"/>
    <x v="1"/>
    <x v="1"/>
    <x v="35"/>
  </r>
  <r>
    <x v="36"/>
    <n v="68"/>
    <x v="2"/>
    <x v="14"/>
    <x v="1"/>
    <x v="1"/>
    <x v="2"/>
    <x v="36"/>
  </r>
  <r>
    <x v="37"/>
    <n v="51"/>
    <x v="1"/>
    <x v="32"/>
    <x v="1"/>
    <x v="2"/>
    <x v="1"/>
    <x v="37"/>
  </r>
  <r>
    <x v="38"/>
    <n v="12"/>
    <x v="1"/>
    <x v="33"/>
    <x v="1"/>
    <x v="1"/>
    <x v="2"/>
    <x v="38"/>
  </r>
  <r>
    <x v="39"/>
    <n v="92"/>
    <x v="2"/>
    <x v="34"/>
    <x v="2"/>
    <x v="1"/>
    <x v="0"/>
    <x v="39"/>
  </r>
  <r>
    <x v="40"/>
    <n v="63"/>
    <x v="1"/>
    <x v="35"/>
    <x v="0"/>
    <x v="0"/>
    <x v="2"/>
    <x v="40"/>
  </r>
  <r>
    <x v="41"/>
    <n v="49"/>
    <x v="1"/>
    <x v="36"/>
    <x v="2"/>
    <x v="1"/>
    <x v="1"/>
    <x v="41"/>
  </r>
  <r>
    <x v="42"/>
    <n v="72"/>
    <x v="2"/>
    <x v="37"/>
    <x v="2"/>
    <x v="2"/>
    <x v="0"/>
    <x v="42"/>
  </r>
  <r>
    <x v="43"/>
    <n v="24"/>
    <x v="0"/>
    <x v="36"/>
    <x v="2"/>
    <x v="0"/>
    <x v="0"/>
    <x v="43"/>
  </r>
  <r>
    <x v="44"/>
    <n v="64"/>
    <x v="1"/>
    <x v="38"/>
    <x v="2"/>
    <x v="0"/>
    <x v="1"/>
    <x v="44"/>
  </r>
  <r>
    <x v="45"/>
    <n v="36"/>
    <x v="0"/>
    <x v="39"/>
    <x v="2"/>
    <x v="2"/>
    <x v="2"/>
    <x v="45"/>
  </r>
  <r>
    <x v="46"/>
    <n v="79"/>
    <x v="0"/>
    <x v="40"/>
    <x v="0"/>
    <x v="1"/>
    <x v="2"/>
    <x v="46"/>
  </r>
  <r>
    <x v="47"/>
    <n v="36"/>
    <x v="0"/>
    <x v="41"/>
    <x v="0"/>
    <x v="2"/>
    <x v="2"/>
    <x v="47"/>
  </r>
  <r>
    <x v="48"/>
    <n v="65"/>
    <x v="1"/>
    <x v="42"/>
    <x v="0"/>
    <x v="0"/>
    <x v="1"/>
    <x v="48"/>
  </r>
  <r>
    <x v="49"/>
    <n v="9"/>
    <x v="1"/>
    <x v="34"/>
    <x v="0"/>
    <x v="2"/>
    <x v="2"/>
    <x v="49"/>
  </r>
  <r>
    <x v="50"/>
    <n v="10"/>
    <x v="0"/>
    <x v="43"/>
    <x v="1"/>
    <x v="0"/>
    <x v="0"/>
    <x v="50"/>
  </r>
  <r>
    <x v="51"/>
    <n v="7"/>
    <x v="0"/>
    <x v="44"/>
    <x v="2"/>
    <x v="0"/>
    <x v="2"/>
    <x v="51"/>
  </r>
  <r>
    <x v="52"/>
    <n v="81"/>
    <x v="1"/>
    <x v="41"/>
    <x v="2"/>
    <x v="1"/>
    <x v="1"/>
    <x v="52"/>
  </r>
  <r>
    <x v="53"/>
    <n v="62"/>
    <x v="2"/>
    <x v="15"/>
    <x v="0"/>
    <x v="2"/>
    <x v="0"/>
    <x v="53"/>
  </r>
  <r>
    <x v="54"/>
    <n v="29"/>
    <x v="0"/>
    <x v="37"/>
    <x v="1"/>
    <x v="1"/>
    <x v="1"/>
    <x v="54"/>
  </r>
  <r>
    <x v="55"/>
    <n v="73"/>
    <x v="0"/>
    <x v="45"/>
    <x v="2"/>
    <x v="0"/>
    <x v="1"/>
    <x v="55"/>
  </r>
  <r>
    <x v="56"/>
    <n v="86"/>
    <x v="0"/>
    <x v="18"/>
    <x v="1"/>
    <x v="2"/>
    <x v="1"/>
    <x v="56"/>
  </r>
  <r>
    <x v="57"/>
    <n v="5"/>
    <x v="2"/>
    <x v="17"/>
    <x v="0"/>
    <x v="1"/>
    <x v="2"/>
    <x v="57"/>
  </r>
  <r>
    <x v="58"/>
    <n v="79"/>
    <x v="0"/>
    <x v="46"/>
    <x v="1"/>
    <x v="1"/>
    <x v="1"/>
    <x v="58"/>
  </r>
  <r>
    <x v="59"/>
    <n v="87"/>
    <x v="1"/>
    <x v="47"/>
    <x v="2"/>
    <x v="0"/>
    <x v="0"/>
    <x v="59"/>
  </r>
  <r>
    <x v="60"/>
    <n v="60"/>
    <x v="0"/>
    <x v="48"/>
    <x v="0"/>
    <x v="1"/>
    <x v="0"/>
    <x v="60"/>
  </r>
  <r>
    <x v="61"/>
    <n v="43"/>
    <x v="2"/>
    <x v="49"/>
    <x v="0"/>
    <x v="2"/>
    <x v="0"/>
    <x v="61"/>
  </r>
  <r>
    <x v="62"/>
    <n v="52"/>
    <x v="0"/>
    <x v="23"/>
    <x v="2"/>
    <x v="1"/>
    <x v="2"/>
    <x v="62"/>
  </r>
  <r>
    <x v="63"/>
    <n v="2"/>
    <x v="2"/>
    <x v="50"/>
    <x v="2"/>
    <x v="0"/>
    <x v="1"/>
    <x v="63"/>
  </r>
  <r>
    <x v="64"/>
    <n v="22"/>
    <x v="1"/>
    <x v="51"/>
    <x v="0"/>
    <x v="1"/>
    <x v="0"/>
    <x v="64"/>
  </r>
  <r>
    <x v="65"/>
    <n v="31"/>
    <x v="1"/>
    <x v="52"/>
    <x v="1"/>
    <x v="0"/>
    <x v="0"/>
    <x v="65"/>
  </r>
  <r>
    <x v="66"/>
    <n v="87"/>
    <x v="1"/>
    <x v="53"/>
    <x v="1"/>
    <x v="0"/>
    <x v="1"/>
    <x v="66"/>
  </r>
  <r>
    <x v="67"/>
    <n v="11"/>
    <x v="2"/>
    <x v="51"/>
    <x v="1"/>
    <x v="0"/>
    <x v="1"/>
    <x v="67"/>
  </r>
  <r>
    <x v="68"/>
    <n v="33"/>
    <x v="2"/>
    <x v="44"/>
    <x v="0"/>
    <x v="2"/>
    <x v="1"/>
    <x v="68"/>
  </r>
  <r>
    <x v="69"/>
    <n v="17"/>
    <x v="1"/>
    <x v="21"/>
    <x v="0"/>
    <x v="0"/>
    <x v="2"/>
    <x v="69"/>
  </r>
  <r>
    <x v="70"/>
    <n v="71"/>
    <x v="2"/>
    <x v="54"/>
    <x v="2"/>
    <x v="2"/>
    <x v="1"/>
    <x v="70"/>
  </r>
  <r>
    <x v="71"/>
    <n v="35"/>
    <x v="0"/>
    <x v="55"/>
    <x v="0"/>
    <x v="2"/>
    <x v="1"/>
    <x v="71"/>
  </r>
  <r>
    <x v="72"/>
    <n v="15"/>
    <x v="1"/>
    <x v="56"/>
    <x v="1"/>
    <x v="0"/>
    <x v="0"/>
    <x v="72"/>
  </r>
  <r>
    <x v="73"/>
    <n v="43"/>
    <x v="1"/>
    <x v="30"/>
    <x v="0"/>
    <x v="1"/>
    <x v="0"/>
    <x v="73"/>
  </r>
  <r>
    <x v="74"/>
    <n v="2"/>
    <x v="1"/>
    <x v="41"/>
    <x v="0"/>
    <x v="1"/>
    <x v="2"/>
    <x v="74"/>
  </r>
  <r>
    <x v="75"/>
    <n v="36"/>
    <x v="1"/>
    <x v="57"/>
    <x v="2"/>
    <x v="0"/>
    <x v="2"/>
    <x v="75"/>
  </r>
  <r>
    <x v="76"/>
    <n v="64"/>
    <x v="1"/>
    <x v="58"/>
    <x v="0"/>
    <x v="1"/>
    <x v="2"/>
    <x v="76"/>
  </r>
  <r>
    <x v="77"/>
    <n v="28"/>
    <x v="1"/>
    <x v="11"/>
    <x v="0"/>
    <x v="1"/>
    <x v="1"/>
    <x v="77"/>
  </r>
  <r>
    <x v="78"/>
    <n v="69"/>
    <x v="0"/>
    <x v="37"/>
    <x v="1"/>
    <x v="2"/>
    <x v="0"/>
    <x v="78"/>
  </r>
  <r>
    <x v="79"/>
    <n v="75"/>
    <x v="0"/>
    <x v="50"/>
    <x v="2"/>
    <x v="2"/>
    <x v="1"/>
    <x v="79"/>
  </r>
  <r>
    <x v="80"/>
    <n v="69"/>
    <x v="1"/>
    <x v="59"/>
    <x v="2"/>
    <x v="0"/>
    <x v="2"/>
    <x v="80"/>
  </r>
  <r>
    <x v="81"/>
    <n v="74"/>
    <x v="0"/>
    <x v="60"/>
    <x v="0"/>
    <x v="1"/>
    <x v="1"/>
    <x v="81"/>
  </r>
  <r>
    <x v="82"/>
    <n v="69"/>
    <x v="0"/>
    <x v="61"/>
    <x v="2"/>
    <x v="1"/>
    <x v="0"/>
    <x v="82"/>
  </r>
  <r>
    <x v="83"/>
    <n v="11"/>
    <x v="0"/>
    <x v="62"/>
    <x v="0"/>
    <x v="1"/>
    <x v="2"/>
    <x v="83"/>
  </r>
  <r>
    <x v="84"/>
    <n v="92"/>
    <x v="0"/>
    <x v="63"/>
    <x v="0"/>
    <x v="0"/>
    <x v="2"/>
    <x v="84"/>
  </r>
  <r>
    <x v="85"/>
    <n v="70"/>
    <x v="0"/>
    <x v="64"/>
    <x v="0"/>
    <x v="2"/>
    <x v="1"/>
    <x v="85"/>
  </r>
  <r>
    <x v="86"/>
    <n v="22"/>
    <x v="0"/>
    <x v="65"/>
    <x v="0"/>
    <x v="2"/>
    <x v="2"/>
    <x v="86"/>
  </r>
  <r>
    <x v="87"/>
    <n v="9"/>
    <x v="1"/>
    <x v="66"/>
    <x v="0"/>
    <x v="1"/>
    <x v="0"/>
    <x v="87"/>
  </r>
  <r>
    <x v="88"/>
    <n v="6"/>
    <x v="1"/>
    <x v="67"/>
    <x v="2"/>
    <x v="2"/>
    <x v="0"/>
    <x v="88"/>
  </r>
  <r>
    <x v="89"/>
    <n v="58"/>
    <x v="0"/>
    <x v="68"/>
    <x v="1"/>
    <x v="2"/>
    <x v="0"/>
    <x v="89"/>
  </r>
  <r>
    <x v="90"/>
    <n v="98"/>
    <x v="2"/>
    <x v="69"/>
    <x v="2"/>
    <x v="1"/>
    <x v="2"/>
    <x v="90"/>
  </r>
  <r>
    <x v="91"/>
    <n v="93"/>
    <x v="1"/>
    <x v="70"/>
    <x v="0"/>
    <x v="2"/>
    <x v="1"/>
    <x v="91"/>
  </r>
  <r>
    <x v="92"/>
    <n v="10"/>
    <x v="1"/>
    <x v="71"/>
    <x v="2"/>
    <x v="0"/>
    <x v="1"/>
    <x v="92"/>
  </r>
  <r>
    <x v="93"/>
    <n v="72"/>
    <x v="2"/>
    <x v="72"/>
    <x v="1"/>
    <x v="1"/>
    <x v="0"/>
    <x v="93"/>
  </r>
  <r>
    <x v="94"/>
    <n v="36"/>
    <x v="2"/>
    <x v="73"/>
    <x v="0"/>
    <x v="2"/>
    <x v="2"/>
    <x v="94"/>
  </r>
  <r>
    <x v="95"/>
    <n v="11"/>
    <x v="0"/>
    <x v="49"/>
    <x v="0"/>
    <x v="1"/>
    <x v="2"/>
    <x v="95"/>
  </r>
  <r>
    <x v="96"/>
    <n v="56"/>
    <x v="0"/>
    <x v="53"/>
    <x v="0"/>
    <x v="2"/>
    <x v="1"/>
    <x v="96"/>
  </r>
  <r>
    <x v="97"/>
    <n v="67"/>
    <x v="2"/>
    <x v="46"/>
    <x v="0"/>
    <x v="2"/>
    <x v="0"/>
    <x v="97"/>
  </r>
  <r>
    <x v="98"/>
    <n v="67"/>
    <x v="0"/>
    <x v="74"/>
    <x v="0"/>
    <x v="1"/>
    <x v="0"/>
    <x v="98"/>
  </r>
  <r>
    <x v="99"/>
    <n v="8"/>
    <x v="1"/>
    <x v="39"/>
    <x v="2"/>
    <x v="0"/>
    <x v="0"/>
    <x v="99"/>
  </r>
  <r>
    <x v="100"/>
    <n v="27"/>
    <x v="0"/>
    <x v="75"/>
    <x v="1"/>
    <x v="0"/>
    <x v="2"/>
    <x v="100"/>
  </r>
  <r>
    <x v="101"/>
    <n v="79"/>
    <x v="0"/>
    <x v="33"/>
    <x v="1"/>
    <x v="1"/>
    <x v="0"/>
    <x v="101"/>
  </r>
  <r>
    <x v="102"/>
    <n v="87"/>
    <x v="1"/>
    <x v="76"/>
    <x v="1"/>
    <x v="1"/>
    <x v="0"/>
    <x v="102"/>
  </r>
  <r>
    <x v="103"/>
    <n v="1"/>
    <x v="0"/>
    <x v="33"/>
    <x v="2"/>
    <x v="0"/>
    <x v="2"/>
    <x v="103"/>
  </r>
  <r>
    <x v="104"/>
    <n v="49"/>
    <x v="0"/>
    <x v="26"/>
    <x v="0"/>
    <x v="1"/>
    <x v="0"/>
    <x v="104"/>
  </r>
  <r>
    <x v="105"/>
    <n v="9"/>
    <x v="1"/>
    <x v="15"/>
    <x v="2"/>
    <x v="2"/>
    <x v="2"/>
    <x v="105"/>
  </r>
  <r>
    <x v="106"/>
    <n v="63"/>
    <x v="0"/>
    <x v="77"/>
    <x v="2"/>
    <x v="1"/>
    <x v="1"/>
    <x v="106"/>
  </r>
  <r>
    <x v="107"/>
    <n v="97"/>
    <x v="2"/>
    <x v="7"/>
    <x v="2"/>
    <x v="2"/>
    <x v="2"/>
    <x v="107"/>
  </r>
  <r>
    <x v="108"/>
    <n v="1"/>
    <x v="2"/>
    <x v="78"/>
    <x v="0"/>
    <x v="1"/>
    <x v="1"/>
    <x v="108"/>
  </r>
  <r>
    <x v="109"/>
    <n v="44"/>
    <x v="1"/>
    <x v="54"/>
    <x v="2"/>
    <x v="0"/>
    <x v="0"/>
    <x v="109"/>
  </r>
  <r>
    <x v="110"/>
    <n v="27"/>
    <x v="0"/>
    <x v="19"/>
    <x v="0"/>
    <x v="2"/>
    <x v="2"/>
    <x v="110"/>
  </r>
  <r>
    <x v="111"/>
    <n v="9"/>
    <x v="2"/>
    <x v="79"/>
    <x v="0"/>
    <x v="0"/>
    <x v="1"/>
    <x v="111"/>
  </r>
  <r>
    <x v="112"/>
    <n v="67"/>
    <x v="2"/>
    <x v="74"/>
    <x v="2"/>
    <x v="0"/>
    <x v="1"/>
    <x v="112"/>
  </r>
  <r>
    <x v="113"/>
    <n v="83"/>
    <x v="1"/>
    <x v="75"/>
    <x v="0"/>
    <x v="1"/>
    <x v="2"/>
    <x v="113"/>
  </r>
  <r>
    <x v="114"/>
    <n v="66"/>
    <x v="1"/>
    <x v="26"/>
    <x v="1"/>
    <x v="2"/>
    <x v="0"/>
    <x v="114"/>
  </r>
  <r>
    <x v="115"/>
    <n v="36"/>
    <x v="2"/>
    <x v="80"/>
    <x v="1"/>
    <x v="1"/>
    <x v="0"/>
    <x v="115"/>
  </r>
  <r>
    <x v="116"/>
    <n v="64"/>
    <x v="2"/>
    <x v="50"/>
    <x v="2"/>
    <x v="2"/>
    <x v="0"/>
    <x v="116"/>
  </r>
  <r>
    <x v="117"/>
    <n v="66"/>
    <x v="0"/>
    <x v="81"/>
    <x v="2"/>
    <x v="1"/>
    <x v="2"/>
    <x v="117"/>
  </r>
  <r>
    <x v="118"/>
    <n v="99"/>
    <x v="0"/>
    <x v="54"/>
    <x v="2"/>
    <x v="0"/>
    <x v="0"/>
    <x v="118"/>
  </r>
  <r>
    <x v="119"/>
    <n v="80"/>
    <x v="1"/>
    <x v="49"/>
    <x v="0"/>
    <x v="1"/>
    <x v="2"/>
    <x v="119"/>
  </r>
  <r>
    <x v="120"/>
    <n v="86"/>
    <x v="0"/>
    <x v="82"/>
    <x v="1"/>
    <x v="0"/>
    <x v="2"/>
    <x v="120"/>
  </r>
  <r>
    <x v="121"/>
    <n v="51"/>
    <x v="0"/>
    <x v="51"/>
    <x v="2"/>
    <x v="1"/>
    <x v="2"/>
    <x v="121"/>
  </r>
  <r>
    <x v="122"/>
    <n v="79"/>
    <x v="2"/>
    <x v="83"/>
    <x v="1"/>
    <x v="0"/>
    <x v="2"/>
    <x v="122"/>
  </r>
  <r>
    <x v="123"/>
    <n v="100"/>
    <x v="1"/>
    <x v="57"/>
    <x v="1"/>
    <x v="2"/>
    <x v="2"/>
    <x v="123"/>
  </r>
  <r>
    <x v="124"/>
    <n v="86"/>
    <x v="2"/>
    <x v="46"/>
    <x v="2"/>
    <x v="1"/>
    <x v="0"/>
    <x v="124"/>
  </r>
  <r>
    <x v="125"/>
    <n v="29"/>
    <x v="0"/>
    <x v="84"/>
    <x v="2"/>
    <x v="0"/>
    <x v="0"/>
    <x v="125"/>
  </r>
  <r>
    <x v="126"/>
    <n v="68"/>
    <x v="2"/>
    <x v="44"/>
    <x v="2"/>
    <x v="0"/>
    <x v="2"/>
    <x v="126"/>
  </r>
  <r>
    <x v="127"/>
    <n v="92"/>
    <x v="2"/>
    <x v="85"/>
    <x v="1"/>
    <x v="2"/>
    <x v="1"/>
    <x v="127"/>
  </r>
  <r>
    <x v="128"/>
    <n v="14"/>
    <x v="2"/>
    <x v="11"/>
    <x v="2"/>
    <x v="1"/>
    <x v="0"/>
    <x v="128"/>
  </r>
  <r>
    <x v="129"/>
    <n v="72"/>
    <x v="2"/>
    <x v="86"/>
    <x v="1"/>
    <x v="1"/>
    <x v="1"/>
    <x v="129"/>
  </r>
  <r>
    <x v="130"/>
    <n v="61"/>
    <x v="1"/>
    <x v="28"/>
    <x v="1"/>
    <x v="1"/>
    <x v="0"/>
    <x v="130"/>
  </r>
  <r>
    <x v="131"/>
    <n v="63"/>
    <x v="0"/>
    <x v="87"/>
    <x v="2"/>
    <x v="1"/>
    <x v="0"/>
    <x v="131"/>
  </r>
  <r>
    <x v="132"/>
    <n v="86"/>
    <x v="0"/>
    <x v="88"/>
    <x v="2"/>
    <x v="2"/>
    <x v="2"/>
    <x v="132"/>
  </r>
  <r>
    <x v="133"/>
    <n v="98"/>
    <x v="2"/>
    <x v="89"/>
    <x v="2"/>
    <x v="2"/>
    <x v="0"/>
    <x v="133"/>
  </r>
  <r>
    <x v="134"/>
    <n v="61"/>
    <x v="2"/>
    <x v="2"/>
    <x v="1"/>
    <x v="2"/>
    <x v="1"/>
    <x v="134"/>
  </r>
  <r>
    <x v="135"/>
    <n v="67"/>
    <x v="1"/>
    <x v="90"/>
    <x v="1"/>
    <x v="0"/>
    <x v="1"/>
    <x v="135"/>
  </r>
  <r>
    <x v="136"/>
    <n v="2"/>
    <x v="1"/>
    <x v="91"/>
    <x v="1"/>
    <x v="1"/>
    <x v="1"/>
    <x v="136"/>
  </r>
  <r>
    <x v="137"/>
    <n v="11"/>
    <x v="0"/>
    <x v="54"/>
    <x v="0"/>
    <x v="1"/>
    <x v="1"/>
    <x v="137"/>
  </r>
  <r>
    <x v="138"/>
    <n v="58"/>
    <x v="2"/>
    <x v="62"/>
    <x v="2"/>
    <x v="1"/>
    <x v="0"/>
    <x v="138"/>
  </r>
  <r>
    <x v="139"/>
    <n v="68"/>
    <x v="1"/>
    <x v="30"/>
    <x v="1"/>
    <x v="1"/>
    <x v="2"/>
    <x v="139"/>
  </r>
  <r>
    <x v="140"/>
    <n v="28"/>
    <x v="2"/>
    <x v="34"/>
    <x v="1"/>
    <x v="0"/>
    <x v="0"/>
    <x v="140"/>
  </r>
  <r>
    <x v="141"/>
    <n v="63"/>
    <x v="0"/>
    <x v="92"/>
    <x v="1"/>
    <x v="1"/>
    <x v="0"/>
    <x v="141"/>
  </r>
  <r>
    <x v="142"/>
    <n v="100"/>
    <x v="1"/>
    <x v="38"/>
    <x v="1"/>
    <x v="2"/>
    <x v="2"/>
    <x v="142"/>
  </r>
  <r>
    <x v="143"/>
    <n v="45"/>
    <x v="2"/>
    <x v="93"/>
    <x v="1"/>
    <x v="2"/>
    <x v="2"/>
    <x v="143"/>
  </r>
  <r>
    <x v="144"/>
    <n v="25"/>
    <x v="0"/>
    <x v="94"/>
    <x v="1"/>
    <x v="0"/>
    <x v="2"/>
    <x v="144"/>
  </r>
  <r>
    <x v="145"/>
    <n v="43"/>
    <x v="2"/>
    <x v="1"/>
    <x v="1"/>
    <x v="0"/>
    <x v="0"/>
    <x v="145"/>
  </r>
  <r>
    <x v="146"/>
    <n v="45"/>
    <x v="0"/>
    <x v="95"/>
    <x v="1"/>
    <x v="1"/>
    <x v="1"/>
    <x v="146"/>
  </r>
  <r>
    <x v="147"/>
    <n v="84"/>
    <x v="2"/>
    <x v="96"/>
    <x v="1"/>
    <x v="1"/>
    <x v="1"/>
    <x v="147"/>
  </r>
  <r>
    <x v="148"/>
    <n v="41"/>
    <x v="2"/>
    <x v="75"/>
    <x v="2"/>
    <x v="2"/>
    <x v="1"/>
    <x v="148"/>
  </r>
  <r>
    <x v="149"/>
    <n v="53"/>
    <x v="1"/>
    <x v="97"/>
    <x v="2"/>
    <x v="1"/>
    <x v="2"/>
    <x v="149"/>
  </r>
  <r>
    <x v="150"/>
    <n v="61"/>
    <x v="0"/>
    <x v="98"/>
    <x v="0"/>
    <x v="0"/>
    <x v="0"/>
    <x v="150"/>
  </r>
  <r>
    <x v="151"/>
    <n v="97"/>
    <x v="0"/>
    <x v="99"/>
    <x v="1"/>
    <x v="2"/>
    <x v="2"/>
    <x v="151"/>
  </r>
  <r>
    <x v="152"/>
    <n v="63"/>
    <x v="2"/>
    <x v="80"/>
    <x v="2"/>
    <x v="0"/>
    <x v="2"/>
    <x v="152"/>
  </r>
  <r>
    <x v="153"/>
    <n v="75"/>
    <x v="2"/>
    <x v="13"/>
    <x v="2"/>
    <x v="2"/>
    <x v="1"/>
    <x v="153"/>
  </r>
  <r>
    <x v="154"/>
    <n v="10"/>
    <x v="0"/>
    <x v="100"/>
    <x v="0"/>
    <x v="0"/>
    <x v="0"/>
    <x v="154"/>
  </r>
  <r>
    <x v="155"/>
    <n v="56"/>
    <x v="1"/>
    <x v="16"/>
    <x v="1"/>
    <x v="0"/>
    <x v="2"/>
    <x v="155"/>
  </r>
  <r>
    <x v="156"/>
    <n v="96"/>
    <x v="1"/>
    <x v="101"/>
    <x v="2"/>
    <x v="0"/>
    <x v="2"/>
    <x v="156"/>
  </r>
  <r>
    <x v="157"/>
    <n v="96"/>
    <x v="1"/>
    <x v="94"/>
    <x v="2"/>
    <x v="1"/>
    <x v="0"/>
    <x v="157"/>
  </r>
  <r>
    <x v="158"/>
    <n v="77"/>
    <x v="0"/>
    <x v="44"/>
    <x v="1"/>
    <x v="2"/>
    <x v="1"/>
    <x v="158"/>
  </r>
  <r>
    <x v="159"/>
    <n v="91"/>
    <x v="0"/>
    <x v="102"/>
    <x v="2"/>
    <x v="2"/>
    <x v="2"/>
    <x v="159"/>
  </r>
  <r>
    <x v="160"/>
    <n v="56"/>
    <x v="2"/>
    <x v="16"/>
    <x v="0"/>
    <x v="0"/>
    <x v="0"/>
    <x v="160"/>
  </r>
  <r>
    <x v="161"/>
    <n v="56"/>
    <x v="1"/>
    <x v="66"/>
    <x v="0"/>
    <x v="2"/>
    <x v="2"/>
    <x v="161"/>
  </r>
  <r>
    <x v="162"/>
    <n v="12"/>
    <x v="2"/>
    <x v="103"/>
    <x v="2"/>
    <x v="0"/>
    <x v="2"/>
    <x v="162"/>
  </r>
  <r>
    <x v="163"/>
    <n v="6"/>
    <x v="0"/>
    <x v="104"/>
    <x v="1"/>
    <x v="0"/>
    <x v="0"/>
    <x v="163"/>
  </r>
  <r>
    <x v="164"/>
    <n v="30"/>
    <x v="2"/>
    <x v="19"/>
    <x v="0"/>
    <x v="1"/>
    <x v="1"/>
    <x v="164"/>
  </r>
  <r>
    <x v="165"/>
    <n v="34"/>
    <x v="1"/>
    <x v="2"/>
    <x v="0"/>
    <x v="0"/>
    <x v="0"/>
    <x v="165"/>
  </r>
  <r>
    <x v="166"/>
    <n v="99"/>
    <x v="2"/>
    <x v="99"/>
    <x v="2"/>
    <x v="2"/>
    <x v="1"/>
    <x v="166"/>
  </r>
  <r>
    <x v="167"/>
    <n v="14"/>
    <x v="0"/>
    <x v="55"/>
    <x v="2"/>
    <x v="1"/>
    <x v="0"/>
    <x v="167"/>
  </r>
  <r>
    <x v="168"/>
    <n v="70"/>
    <x v="2"/>
    <x v="105"/>
    <x v="2"/>
    <x v="1"/>
    <x v="2"/>
    <x v="168"/>
  </r>
  <r>
    <x v="169"/>
    <n v="4"/>
    <x v="1"/>
    <x v="73"/>
    <x v="1"/>
    <x v="2"/>
    <x v="0"/>
    <x v="169"/>
  </r>
  <r>
    <x v="170"/>
    <n v="74"/>
    <x v="2"/>
    <x v="1"/>
    <x v="2"/>
    <x v="2"/>
    <x v="2"/>
    <x v="170"/>
  </r>
  <r>
    <x v="171"/>
    <n v="25"/>
    <x v="2"/>
    <x v="23"/>
    <x v="0"/>
    <x v="1"/>
    <x v="1"/>
    <x v="171"/>
  </r>
  <r>
    <x v="172"/>
    <n v="74"/>
    <x v="2"/>
    <x v="27"/>
    <x v="0"/>
    <x v="2"/>
    <x v="1"/>
    <x v="172"/>
  </r>
  <r>
    <x v="173"/>
    <n v="51"/>
    <x v="1"/>
    <x v="106"/>
    <x v="2"/>
    <x v="1"/>
    <x v="1"/>
    <x v="173"/>
  </r>
  <r>
    <x v="174"/>
    <n v="6"/>
    <x v="0"/>
    <x v="21"/>
    <x v="1"/>
    <x v="2"/>
    <x v="2"/>
    <x v="174"/>
  </r>
  <r>
    <x v="175"/>
    <n v="13"/>
    <x v="0"/>
    <x v="107"/>
    <x v="2"/>
    <x v="1"/>
    <x v="2"/>
    <x v="175"/>
  </r>
  <r>
    <x v="176"/>
    <n v="34"/>
    <x v="0"/>
    <x v="65"/>
    <x v="1"/>
    <x v="0"/>
    <x v="2"/>
    <x v="176"/>
  </r>
  <r>
    <x v="177"/>
    <n v="51"/>
    <x v="1"/>
    <x v="108"/>
    <x v="1"/>
    <x v="0"/>
    <x v="0"/>
    <x v="177"/>
  </r>
  <r>
    <x v="178"/>
    <n v="44"/>
    <x v="0"/>
    <x v="87"/>
    <x v="2"/>
    <x v="2"/>
    <x v="1"/>
    <x v="178"/>
  </r>
  <r>
    <x v="179"/>
    <n v="64"/>
    <x v="0"/>
    <x v="109"/>
    <x v="0"/>
    <x v="0"/>
    <x v="2"/>
    <x v="179"/>
  </r>
  <r>
    <x v="180"/>
    <n v="91"/>
    <x v="1"/>
    <x v="110"/>
    <x v="1"/>
    <x v="0"/>
    <x v="1"/>
    <x v="180"/>
  </r>
  <r>
    <x v="181"/>
    <n v="80"/>
    <x v="1"/>
    <x v="99"/>
    <x v="1"/>
    <x v="2"/>
    <x v="2"/>
    <x v="181"/>
  </r>
  <r>
    <x v="182"/>
    <n v="8"/>
    <x v="0"/>
    <x v="72"/>
    <x v="0"/>
    <x v="1"/>
    <x v="0"/>
    <x v="182"/>
  </r>
  <r>
    <x v="183"/>
    <n v="14"/>
    <x v="1"/>
    <x v="66"/>
    <x v="1"/>
    <x v="2"/>
    <x v="0"/>
    <x v="183"/>
  </r>
  <r>
    <x v="184"/>
    <n v="64"/>
    <x v="0"/>
    <x v="6"/>
    <x v="2"/>
    <x v="2"/>
    <x v="1"/>
    <x v="184"/>
  </r>
  <r>
    <x v="185"/>
    <n v="21"/>
    <x v="0"/>
    <x v="27"/>
    <x v="0"/>
    <x v="1"/>
    <x v="2"/>
    <x v="185"/>
  </r>
  <r>
    <x v="186"/>
    <n v="13"/>
    <x v="2"/>
    <x v="63"/>
    <x v="1"/>
    <x v="1"/>
    <x v="0"/>
    <x v="186"/>
  </r>
  <r>
    <x v="187"/>
    <n v="56"/>
    <x v="0"/>
    <x v="111"/>
    <x v="1"/>
    <x v="2"/>
    <x v="1"/>
    <x v="187"/>
  </r>
  <r>
    <x v="188"/>
    <n v="95"/>
    <x v="2"/>
    <x v="20"/>
    <x v="2"/>
    <x v="0"/>
    <x v="2"/>
    <x v="188"/>
  </r>
  <r>
    <x v="189"/>
    <n v="4"/>
    <x v="1"/>
    <x v="112"/>
    <x v="2"/>
    <x v="1"/>
    <x v="1"/>
    <x v="189"/>
  </r>
  <r>
    <x v="190"/>
    <n v="80"/>
    <x v="2"/>
    <x v="79"/>
    <x v="2"/>
    <x v="1"/>
    <x v="2"/>
    <x v="190"/>
  </r>
  <r>
    <x v="191"/>
    <n v="95"/>
    <x v="1"/>
    <x v="113"/>
    <x v="0"/>
    <x v="1"/>
    <x v="0"/>
    <x v="191"/>
  </r>
  <r>
    <x v="192"/>
    <n v="28"/>
    <x v="2"/>
    <x v="16"/>
    <x v="0"/>
    <x v="1"/>
    <x v="2"/>
    <x v="192"/>
  </r>
  <r>
    <x v="193"/>
    <n v="1"/>
    <x v="0"/>
    <x v="114"/>
    <x v="0"/>
    <x v="1"/>
    <x v="0"/>
    <x v="193"/>
  </r>
  <r>
    <x v="194"/>
    <n v="17"/>
    <x v="0"/>
    <x v="47"/>
    <x v="0"/>
    <x v="2"/>
    <x v="1"/>
    <x v="194"/>
  </r>
  <r>
    <x v="195"/>
    <n v="18"/>
    <x v="0"/>
    <x v="115"/>
    <x v="0"/>
    <x v="0"/>
    <x v="2"/>
    <x v="195"/>
  </r>
  <r>
    <x v="196"/>
    <n v="76"/>
    <x v="2"/>
    <x v="116"/>
    <x v="1"/>
    <x v="2"/>
    <x v="1"/>
    <x v="196"/>
  </r>
  <r>
    <x v="197"/>
    <n v="28"/>
    <x v="2"/>
    <x v="117"/>
    <x v="2"/>
    <x v="0"/>
    <x v="2"/>
    <x v="197"/>
  </r>
  <r>
    <x v="198"/>
    <n v="75"/>
    <x v="0"/>
    <x v="103"/>
    <x v="1"/>
    <x v="2"/>
    <x v="0"/>
    <x v="198"/>
  </r>
  <r>
    <x v="199"/>
    <n v="78"/>
    <x v="2"/>
    <x v="30"/>
    <x v="2"/>
    <x v="2"/>
    <x v="0"/>
    <x v="199"/>
  </r>
  <r>
    <x v="200"/>
    <n v="8"/>
    <x v="2"/>
    <x v="118"/>
    <x v="2"/>
    <x v="1"/>
    <x v="1"/>
    <x v="200"/>
  </r>
  <r>
    <x v="201"/>
    <n v="97"/>
    <x v="0"/>
    <x v="17"/>
    <x v="2"/>
    <x v="2"/>
    <x v="1"/>
    <x v="201"/>
  </r>
  <r>
    <x v="202"/>
    <n v="22"/>
    <x v="0"/>
    <x v="95"/>
    <x v="0"/>
    <x v="0"/>
    <x v="2"/>
    <x v="202"/>
  </r>
  <r>
    <x v="203"/>
    <n v="82"/>
    <x v="1"/>
    <x v="14"/>
    <x v="2"/>
    <x v="2"/>
    <x v="0"/>
    <x v="203"/>
  </r>
  <r>
    <x v="204"/>
    <n v="17"/>
    <x v="0"/>
    <x v="116"/>
    <x v="0"/>
    <x v="1"/>
    <x v="1"/>
    <x v="204"/>
  </r>
  <r>
    <x v="205"/>
    <n v="59"/>
    <x v="1"/>
    <x v="106"/>
    <x v="2"/>
    <x v="0"/>
    <x v="2"/>
    <x v="205"/>
  </r>
  <r>
    <x v="206"/>
    <n v="69"/>
    <x v="1"/>
    <x v="119"/>
    <x v="1"/>
    <x v="1"/>
    <x v="1"/>
    <x v="206"/>
  </r>
  <r>
    <x v="207"/>
    <n v="22"/>
    <x v="1"/>
    <x v="120"/>
    <x v="2"/>
    <x v="1"/>
    <x v="2"/>
    <x v="207"/>
  </r>
  <r>
    <x v="208"/>
    <n v="76"/>
    <x v="1"/>
    <x v="56"/>
    <x v="1"/>
    <x v="2"/>
    <x v="2"/>
    <x v="208"/>
  </r>
  <r>
    <x v="209"/>
    <n v="59"/>
    <x v="1"/>
    <x v="75"/>
    <x v="2"/>
    <x v="0"/>
    <x v="1"/>
    <x v="209"/>
  </r>
  <r>
    <x v="210"/>
    <n v="61"/>
    <x v="0"/>
    <x v="121"/>
    <x v="0"/>
    <x v="1"/>
    <x v="2"/>
    <x v="210"/>
  </r>
  <r>
    <x v="211"/>
    <n v="69"/>
    <x v="1"/>
    <x v="101"/>
    <x v="2"/>
    <x v="2"/>
    <x v="1"/>
    <x v="211"/>
  </r>
  <r>
    <x v="212"/>
    <n v="75"/>
    <x v="2"/>
    <x v="103"/>
    <x v="1"/>
    <x v="2"/>
    <x v="0"/>
    <x v="212"/>
  </r>
  <r>
    <x v="213"/>
    <n v="42"/>
    <x v="0"/>
    <x v="23"/>
    <x v="2"/>
    <x v="0"/>
    <x v="2"/>
    <x v="213"/>
  </r>
  <r>
    <x v="214"/>
    <n v="38"/>
    <x v="1"/>
    <x v="109"/>
    <x v="1"/>
    <x v="1"/>
    <x v="2"/>
    <x v="214"/>
  </r>
  <r>
    <x v="215"/>
    <n v="5"/>
    <x v="0"/>
    <x v="24"/>
    <x v="1"/>
    <x v="2"/>
    <x v="0"/>
    <x v="215"/>
  </r>
  <r>
    <x v="216"/>
    <n v="10"/>
    <x v="2"/>
    <x v="116"/>
    <x v="2"/>
    <x v="1"/>
    <x v="1"/>
    <x v="216"/>
  </r>
  <r>
    <x v="217"/>
    <n v="21"/>
    <x v="1"/>
    <x v="122"/>
    <x v="1"/>
    <x v="1"/>
    <x v="0"/>
    <x v="217"/>
  </r>
  <r>
    <x v="218"/>
    <n v="92"/>
    <x v="2"/>
    <x v="1"/>
    <x v="0"/>
    <x v="1"/>
    <x v="2"/>
    <x v="218"/>
  </r>
  <r>
    <x v="219"/>
    <n v="29"/>
    <x v="1"/>
    <x v="95"/>
    <x v="2"/>
    <x v="0"/>
    <x v="2"/>
    <x v="219"/>
  </r>
  <r>
    <x v="220"/>
    <n v="49"/>
    <x v="1"/>
    <x v="48"/>
    <x v="0"/>
    <x v="1"/>
    <x v="2"/>
    <x v="220"/>
  </r>
  <r>
    <x v="221"/>
    <n v="28"/>
    <x v="1"/>
    <x v="123"/>
    <x v="0"/>
    <x v="1"/>
    <x v="1"/>
    <x v="221"/>
  </r>
  <r>
    <x v="222"/>
    <n v="87"/>
    <x v="2"/>
    <x v="7"/>
    <x v="2"/>
    <x v="1"/>
    <x v="2"/>
    <x v="222"/>
  </r>
  <r>
    <x v="223"/>
    <n v="51"/>
    <x v="1"/>
    <x v="39"/>
    <x v="0"/>
    <x v="1"/>
    <x v="2"/>
    <x v="223"/>
  </r>
  <r>
    <x v="224"/>
    <n v="64"/>
    <x v="0"/>
    <x v="87"/>
    <x v="0"/>
    <x v="2"/>
    <x v="0"/>
    <x v="224"/>
  </r>
  <r>
    <x v="225"/>
    <n v="77"/>
    <x v="2"/>
    <x v="31"/>
    <x v="1"/>
    <x v="0"/>
    <x v="1"/>
    <x v="225"/>
  </r>
  <r>
    <x v="226"/>
    <n v="23"/>
    <x v="1"/>
    <x v="124"/>
    <x v="2"/>
    <x v="0"/>
    <x v="0"/>
    <x v="226"/>
  </r>
  <r>
    <x v="227"/>
    <n v="89"/>
    <x v="1"/>
    <x v="83"/>
    <x v="0"/>
    <x v="2"/>
    <x v="2"/>
    <x v="227"/>
  </r>
  <r>
    <x v="228"/>
    <n v="30"/>
    <x v="1"/>
    <x v="125"/>
    <x v="2"/>
    <x v="1"/>
    <x v="2"/>
    <x v="228"/>
  </r>
  <r>
    <x v="229"/>
    <n v="88"/>
    <x v="0"/>
    <x v="126"/>
    <x v="0"/>
    <x v="0"/>
    <x v="2"/>
    <x v="229"/>
  </r>
  <r>
    <x v="230"/>
    <n v="47"/>
    <x v="0"/>
    <x v="35"/>
    <x v="1"/>
    <x v="2"/>
    <x v="2"/>
    <x v="230"/>
  </r>
  <r>
    <x v="231"/>
    <n v="74"/>
    <x v="1"/>
    <x v="17"/>
    <x v="0"/>
    <x v="1"/>
    <x v="1"/>
    <x v="231"/>
  </r>
  <r>
    <x v="232"/>
    <n v="53"/>
    <x v="0"/>
    <x v="127"/>
    <x v="2"/>
    <x v="0"/>
    <x v="0"/>
    <x v="232"/>
  </r>
  <r>
    <x v="233"/>
    <n v="39"/>
    <x v="0"/>
    <x v="68"/>
    <x v="1"/>
    <x v="0"/>
    <x v="1"/>
    <x v="233"/>
  </r>
  <r>
    <x v="234"/>
    <n v="4"/>
    <x v="2"/>
    <x v="126"/>
    <x v="1"/>
    <x v="1"/>
    <x v="2"/>
    <x v="234"/>
  </r>
  <r>
    <x v="235"/>
    <n v="29"/>
    <x v="2"/>
    <x v="128"/>
    <x v="2"/>
    <x v="0"/>
    <x v="1"/>
    <x v="235"/>
  </r>
  <r>
    <x v="236"/>
    <n v="31"/>
    <x v="2"/>
    <x v="70"/>
    <x v="0"/>
    <x v="2"/>
    <x v="0"/>
    <x v="236"/>
  </r>
  <r>
    <x v="237"/>
    <n v="75"/>
    <x v="0"/>
    <x v="58"/>
    <x v="0"/>
    <x v="1"/>
    <x v="0"/>
    <x v="237"/>
  </r>
  <r>
    <x v="238"/>
    <n v="88"/>
    <x v="1"/>
    <x v="121"/>
    <x v="2"/>
    <x v="0"/>
    <x v="2"/>
    <x v="238"/>
  </r>
  <r>
    <x v="239"/>
    <n v="14"/>
    <x v="0"/>
    <x v="129"/>
    <x v="1"/>
    <x v="2"/>
    <x v="0"/>
    <x v="239"/>
  </r>
  <r>
    <x v="240"/>
    <n v="80"/>
    <x v="0"/>
    <x v="130"/>
    <x v="2"/>
    <x v="0"/>
    <x v="2"/>
    <x v="240"/>
  </r>
  <r>
    <x v="241"/>
    <n v="13"/>
    <x v="1"/>
    <x v="131"/>
    <x v="0"/>
    <x v="1"/>
    <x v="1"/>
    <x v="241"/>
  </r>
  <r>
    <x v="242"/>
    <n v="5"/>
    <x v="1"/>
    <x v="93"/>
    <x v="1"/>
    <x v="2"/>
    <x v="2"/>
    <x v="242"/>
  </r>
  <r>
    <x v="243"/>
    <n v="67"/>
    <x v="0"/>
    <x v="31"/>
    <x v="2"/>
    <x v="2"/>
    <x v="0"/>
    <x v="243"/>
  </r>
  <r>
    <x v="244"/>
    <n v="35"/>
    <x v="2"/>
    <x v="38"/>
    <x v="0"/>
    <x v="1"/>
    <x v="0"/>
    <x v="244"/>
  </r>
  <r>
    <x v="245"/>
    <n v="81"/>
    <x v="0"/>
    <x v="132"/>
    <x v="2"/>
    <x v="0"/>
    <x v="1"/>
    <x v="245"/>
  </r>
  <r>
    <x v="246"/>
    <n v="24"/>
    <x v="2"/>
    <x v="119"/>
    <x v="1"/>
    <x v="1"/>
    <x v="1"/>
    <x v="246"/>
  </r>
  <r>
    <x v="247"/>
    <n v="65"/>
    <x v="0"/>
    <x v="57"/>
    <x v="0"/>
    <x v="0"/>
    <x v="1"/>
    <x v="247"/>
  </r>
  <r>
    <x v="248"/>
    <n v="13"/>
    <x v="0"/>
    <x v="73"/>
    <x v="2"/>
    <x v="2"/>
    <x v="2"/>
    <x v="248"/>
  </r>
  <r>
    <x v="249"/>
    <n v="65"/>
    <x v="2"/>
    <x v="98"/>
    <x v="0"/>
    <x v="2"/>
    <x v="2"/>
    <x v="249"/>
  </r>
  <r>
    <x v="250"/>
    <n v="33"/>
    <x v="0"/>
    <x v="96"/>
    <x v="0"/>
    <x v="2"/>
    <x v="1"/>
    <x v="250"/>
  </r>
  <r>
    <x v="251"/>
    <n v="92"/>
    <x v="2"/>
    <x v="73"/>
    <x v="1"/>
    <x v="1"/>
    <x v="0"/>
    <x v="251"/>
  </r>
  <r>
    <x v="252"/>
    <n v="25"/>
    <x v="1"/>
    <x v="67"/>
    <x v="0"/>
    <x v="0"/>
    <x v="1"/>
    <x v="252"/>
  </r>
  <r>
    <x v="253"/>
    <n v="33"/>
    <x v="1"/>
    <x v="133"/>
    <x v="2"/>
    <x v="0"/>
    <x v="1"/>
    <x v="253"/>
  </r>
  <r>
    <x v="254"/>
    <n v="63"/>
    <x v="2"/>
    <x v="23"/>
    <x v="1"/>
    <x v="1"/>
    <x v="2"/>
    <x v="254"/>
  </r>
  <r>
    <x v="255"/>
    <n v="23"/>
    <x v="0"/>
    <x v="93"/>
    <x v="2"/>
    <x v="0"/>
    <x v="2"/>
    <x v="255"/>
  </r>
  <r>
    <x v="256"/>
    <n v="47"/>
    <x v="0"/>
    <x v="105"/>
    <x v="2"/>
    <x v="0"/>
    <x v="2"/>
    <x v="256"/>
  </r>
  <r>
    <x v="257"/>
    <n v="78"/>
    <x v="0"/>
    <x v="101"/>
    <x v="0"/>
    <x v="0"/>
    <x v="1"/>
    <x v="257"/>
  </r>
  <r>
    <x v="258"/>
    <n v="74"/>
    <x v="1"/>
    <x v="88"/>
    <x v="2"/>
    <x v="2"/>
    <x v="2"/>
    <x v="258"/>
  </r>
  <r>
    <x v="259"/>
    <n v="70"/>
    <x v="0"/>
    <x v="114"/>
    <x v="2"/>
    <x v="0"/>
    <x v="2"/>
    <x v="259"/>
  </r>
  <r>
    <x v="260"/>
    <n v="59"/>
    <x v="1"/>
    <x v="85"/>
    <x v="1"/>
    <x v="0"/>
    <x v="2"/>
    <x v="260"/>
  </r>
  <r>
    <x v="261"/>
    <n v="77"/>
    <x v="1"/>
    <x v="10"/>
    <x v="2"/>
    <x v="0"/>
    <x v="1"/>
    <x v="261"/>
  </r>
  <r>
    <x v="262"/>
    <n v="96"/>
    <x v="1"/>
    <x v="13"/>
    <x v="1"/>
    <x v="0"/>
    <x v="2"/>
    <x v="262"/>
  </r>
  <r>
    <x v="263"/>
    <n v="39"/>
    <x v="0"/>
    <x v="96"/>
    <x v="2"/>
    <x v="0"/>
    <x v="2"/>
    <x v="263"/>
  </r>
  <r>
    <x v="264"/>
    <n v="54"/>
    <x v="0"/>
    <x v="32"/>
    <x v="0"/>
    <x v="0"/>
    <x v="1"/>
    <x v="264"/>
  </r>
  <r>
    <x v="265"/>
    <n v="74"/>
    <x v="0"/>
    <x v="112"/>
    <x v="2"/>
    <x v="1"/>
    <x v="2"/>
    <x v="265"/>
  </r>
  <r>
    <x v="266"/>
    <n v="57"/>
    <x v="1"/>
    <x v="31"/>
    <x v="2"/>
    <x v="2"/>
    <x v="2"/>
    <x v="266"/>
  </r>
  <r>
    <x v="267"/>
    <n v="48"/>
    <x v="1"/>
    <x v="134"/>
    <x v="0"/>
    <x v="1"/>
    <x v="2"/>
    <x v="267"/>
  </r>
  <r>
    <x v="268"/>
    <n v="99"/>
    <x v="2"/>
    <x v="107"/>
    <x v="0"/>
    <x v="0"/>
    <x v="2"/>
    <x v="268"/>
  </r>
  <r>
    <x v="269"/>
    <n v="71"/>
    <x v="1"/>
    <x v="95"/>
    <x v="1"/>
    <x v="1"/>
    <x v="0"/>
    <x v="269"/>
  </r>
  <r>
    <x v="270"/>
    <n v="37"/>
    <x v="2"/>
    <x v="43"/>
    <x v="2"/>
    <x v="1"/>
    <x v="1"/>
    <x v="270"/>
  </r>
  <r>
    <x v="271"/>
    <n v="65"/>
    <x v="0"/>
    <x v="135"/>
    <x v="1"/>
    <x v="0"/>
    <x v="2"/>
    <x v="271"/>
  </r>
  <r>
    <x v="272"/>
    <n v="94"/>
    <x v="0"/>
    <x v="22"/>
    <x v="2"/>
    <x v="2"/>
    <x v="1"/>
    <x v="272"/>
  </r>
  <r>
    <x v="273"/>
    <n v="83"/>
    <x v="2"/>
    <x v="136"/>
    <x v="2"/>
    <x v="1"/>
    <x v="2"/>
    <x v="273"/>
  </r>
  <r>
    <x v="274"/>
    <n v="71"/>
    <x v="1"/>
    <x v="106"/>
    <x v="2"/>
    <x v="2"/>
    <x v="2"/>
    <x v="274"/>
  </r>
  <r>
    <x v="275"/>
    <n v="46"/>
    <x v="2"/>
    <x v="24"/>
    <x v="2"/>
    <x v="2"/>
    <x v="2"/>
    <x v="275"/>
  </r>
  <r>
    <x v="276"/>
    <n v="56"/>
    <x v="1"/>
    <x v="137"/>
    <x v="1"/>
    <x v="0"/>
    <x v="0"/>
    <x v="276"/>
  </r>
  <r>
    <x v="277"/>
    <n v="34"/>
    <x v="1"/>
    <x v="112"/>
    <x v="1"/>
    <x v="0"/>
    <x v="2"/>
    <x v="277"/>
  </r>
  <r>
    <x v="278"/>
    <n v="19"/>
    <x v="0"/>
    <x v="68"/>
    <x v="1"/>
    <x v="0"/>
    <x v="0"/>
    <x v="278"/>
  </r>
  <r>
    <x v="279"/>
    <n v="27"/>
    <x v="1"/>
    <x v="87"/>
    <x v="2"/>
    <x v="1"/>
    <x v="0"/>
    <x v="279"/>
  </r>
  <r>
    <x v="280"/>
    <n v="69"/>
    <x v="2"/>
    <x v="100"/>
    <x v="2"/>
    <x v="0"/>
    <x v="0"/>
    <x v="280"/>
  </r>
  <r>
    <x v="281"/>
    <n v="90"/>
    <x v="0"/>
    <x v="56"/>
    <x v="2"/>
    <x v="0"/>
    <x v="2"/>
    <x v="281"/>
  </r>
  <r>
    <x v="282"/>
    <n v="63"/>
    <x v="2"/>
    <x v="103"/>
    <x v="1"/>
    <x v="2"/>
    <x v="2"/>
    <x v="282"/>
  </r>
  <r>
    <x v="283"/>
    <n v="86"/>
    <x v="0"/>
    <x v="135"/>
    <x v="1"/>
    <x v="2"/>
    <x v="0"/>
    <x v="283"/>
  </r>
  <r>
    <x v="284"/>
    <n v="82"/>
    <x v="0"/>
    <x v="102"/>
    <x v="2"/>
    <x v="1"/>
    <x v="2"/>
    <x v="284"/>
  </r>
  <r>
    <x v="285"/>
    <n v="65"/>
    <x v="0"/>
    <x v="29"/>
    <x v="1"/>
    <x v="1"/>
    <x v="0"/>
    <x v="285"/>
  </r>
  <r>
    <x v="286"/>
    <n v="14"/>
    <x v="0"/>
    <x v="120"/>
    <x v="1"/>
    <x v="1"/>
    <x v="2"/>
    <x v="286"/>
  </r>
  <r>
    <x v="287"/>
    <n v="48"/>
    <x v="0"/>
    <x v="138"/>
    <x v="1"/>
    <x v="1"/>
    <x v="2"/>
    <x v="287"/>
  </r>
  <r>
    <x v="288"/>
    <n v="61"/>
    <x v="0"/>
    <x v="139"/>
    <x v="1"/>
    <x v="0"/>
    <x v="1"/>
    <x v="288"/>
  </r>
  <r>
    <x v="289"/>
    <n v="35"/>
    <x v="0"/>
    <x v="140"/>
    <x v="1"/>
    <x v="0"/>
    <x v="1"/>
    <x v="289"/>
  </r>
  <r>
    <x v="290"/>
    <n v="67"/>
    <x v="1"/>
    <x v="119"/>
    <x v="2"/>
    <x v="2"/>
    <x v="1"/>
    <x v="290"/>
  </r>
  <r>
    <x v="291"/>
    <n v="16"/>
    <x v="0"/>
    <x v="83"/>
    <x v="2"/>
    <x v="0"/>
    <x v="1"/>
    <x v="291"/>
  </r>
  <r>
    <x v="292"/>
    <n v="44"/>
    <x v="0"/>
    <x v="23"/>
    <x v="1"/>
    <x v="2"/>
    <x v="1"/>
    <x v="292"/>
  </r>
  <r>
    <x v="293"/>
    <n v="80"/>
    <x v="2"/>
    <x v="141"/>
    <x v="1"/>
    <x v="2"/>
    <x v="2"/>
    <x v="293"/>
  </r>
  <r>
    <x v="294"/>
    <n v="83"/>
    <x v="0"/>
    <x v="110"/>
    <x v="2"/>
    <x v="1"/>
    <x v="2"/>
    <x v="294"/>
  </r>
  <r>
    <x v="295"/>
    <n v="93"/>
    <x v="0"/>
    <x v="59"/>
    <x v="0"/>
    <x v="2"/>
    <x v="2"/>
    <x v="295"/>
  </r>
  <r>
    <x v="296"/>
    <n v="43"/>
    <x v="0"/>
    <x v="142"/>
    <x v="2"/>
    <x v="0"/>
    <x v="0"/>
    <x v="296"/>
  </r>
  <r>
    <x v="297"/>
    <n v="87"/>
    <x v="2"/>
    <x v="40"/>
    <x v="2"/>
    <x v="0"/>
    <x v="2"/>
    <x v="297"/>
  </r>
  <r>
    <x v="298"/>
    <n v="56"/>
    <x v="2"/>
    <x v="138"/>
    <x v="2"/>
    <x v="0"/>
    <x v="0"/>
    <x v="298"/>
  </r>
  <r>
    <x v="299"/>
    <n v="3"/>
    <x v="1"/>
    <x v="1"/>
    <x v="1"/>
    <x v="1"/>
    <x v="2"/>
    <x v="299"/>
  </r>
  <r>
    <x v="300"/>
    <n v="22"/>
    <x v="0"/>
    <x v="13"/>
    <x v="2"/>
    <x v="2"/>
    <x v="2"/>
    <x v="300"/>
  </r>
  <r>
    <x v="301"/>
    <n v="85"/>
    <x v="2"/>
    <x v="19"/>
    <x v="1"/>
    <x v="0"/>
    <x v="1"/>
    <x v="301"/>
  </r>
  <r>
    <x v="302"/>
    <n v="80"/>
    <x v="1"/>
    <x v="143"/>
    <x v="0"/>
    <x v="2"/>
    <x v="0"/>
    <x v="302"/>
  </r>
  <r>
    <x v="303"/>
    <n v="17"/>
    <x v="1"/>
    <x v="39"/>
    <x v="1"/>
    <x v="0"/>
    <x v="0"/>
    <x v="303"/>
  </r>
  <r>
    <x v="304"/>
    <n v="35"/>
    <x v="2"/>
    <x v="144"/>
    <x v="0"/>
    <x v="0"/>
    <x v="0"/>
    <x v="304"/>
  </r>
  <r>
    <x v="305"/>
    <n v="39"/>
    <x v="0"/>
    <x v="145"/>
    <x v="2"/>
    <x v="1"/>
    <x v="0"/>
    <x v="305"/>
  </r>
  <r>
    <x v="306"/>
    <n v="30"/>
    <x v="1"/>
    <x v="29"/>
    <x v="0"/>
    <x v="0"/>
    <x v="0"/>
    <x v="306"/>
  </r>
  <r>
    <x v="307"/>
    <n v="47"/>
    <x v="2"/>
    <x v="146"/>
    <x v="0"/>
    <x v="0"/>
    <x v="2"/>
    <x v="307"/>
  </r>
  <r>
    <x v="308"/>
    <n v="24"/>
    <x v="0"/>
    <x v="37"/>
    <x v="0"/>
    <x v="2"/>
    <x v="2"/>
    <x v="308"/>
  </r>
  <r>
    <x v="309"/>
    <n v="76"/>
    <x v="0"/>
    <x v="138"/>
    <x v="0"/>
    <x v="2"/>
    <x v="1"/>
    <x v="309"/>
  </r>
  <r>
    <x v="310"/>
    <n v="38"/>
    <x v="0"/>
    <x v="74"/>
    <x v="1"/>
    <x v="0"/>
    <x v="2"/>
    <x v="310"/>
  </r>
  <r>
    <x v="311"/>
    <n v="47"/>
    <x v="2"/>
    <x v="20"/>
    <x v="0"/>
    <x v="0"/>
    <x v="2"/>
    <x v="311"/>
  </r>
  <r>
    <x v="312"/>
    <n v="82"/>
    <x v="2"/>
    <x v="106"/>
    <x v="2"/>
    <x v="2"/>
    <x v="0"/>
    <x v="312"/>
  </r>
  <r>
    <x v="313"/>
    <n v="36"/>
    <x v="2"/>
    <x v="21"/>
    <x v="0"/>
    <x v="0"/>
    <x v="1"/>
    <x v="313"/>
  </r>
  <r>
    <x v="314"/>
    <n v="40"/>
    <x v="1"/>
    <x v="6"/>
    <x v="1"/>
    <x v="0"/>
    <x v="1"/>
    <x v="314"/>
  </r>
  <r>
    <x v="315"/>
    <n v="28"/>
    <x v="2"/>
    <x v="82"/>
    <x v="2"/>
    <x v="1"/>
    <x v="2"/>
    <x v="315"/>
  </r>
  <r>
    <x v="316"/>
    <n v="31"/>
    <x v="2"/>
    <x v="80"/>
    <x v="2"/>
    <x v="2"/>
    <x v="0"/>
    <x v="316"/>
  </r>
  <r>
    <x v="317"/>
    <n v="34"/>
    <x v="1"/>
    <x v="114"/>
    <x v="0"/>
    <x v="0"/>
    <x v="2"/>
    <x v="317"/>
  </r>
  <r>
    <x v="318"/>
    <n v="56"/>
    <x v="1"/>
    <x v="20"/>
    <x v="0"/>
    <x v="2"/>
    <x v="0"/>
    <x v="318"/>
  </r>
  <r>
    <x v="319"/>
    <n v="45"/>
    <x v="1"/>
    <x v="134"/>
    <x v="0"/>
    <x v="0"/>
    <x v="0"/>
    <x v="319"/>
  </r>
  <r>
    <x v="320"/>
    <n v="32"/>
    <x v="0"/>
    <x v="0"/>
    <x v="0"/>
    <x v="2"/>
    <x v="0"/>
    <x v="320"/>
  </r>
  <r>
    <x v="321"/>
    <n v="54"/>
    <x v="1"/>
    <x v="147"/>
    <x v="1"/>
    <x v="1"/>
    <x v="1"/>
    <x v="321"/>
  </r>
  <r>
    <x v="322"/>
    <n v="44"/>
    <x v="0"/>
    <x v="32"/>
    <x v="1"/>
    <x v="0"/>
    <x v="1"/>
    <x v="322"/>
  </r>
  <r>
    <x v="323"/>
    <n v="97"/>
    <x v="1"/>
    <x v="86"/>
    <x v="0"/>
    <x v="0"/>
    <x v="2"/>
    <x v="323"/>
  </r>
  <r>
    <x v="324"/>
    <n v="15"/>
    <x v="1"/>
    <x v="148"/>
    <x v="1"/>
    <x v="2"/>
    <x v="2"/>
    <x v="324"/>
  </r>
  <r>
    <x v="325"/>
    <n v="97"/>
    <x v="2"/>
    <x v="149"/>
    <x v="0"/>
    <x v="0"/>
    <x v="2"/>
    <x v="325"/>
  </r>
  <r>
    <x v="326"/>
    <n v="17"/>
    <x v="0"/>
    <x v="71"/>
    <x v="0"/>
    <x v="1"/>
    <x v="2"/>
    <x v="326"/>
  </r>
  <r>
    <x v="327"/>
    <n v="91"/>
    <x v="1"/>
    <x v="32"/>
    <x v="2"/>
    <x v="2"/>
    <x v="0"/>
    <x v="327"/>
  </r>
  <r>
    <x v="328"/>
    <n v="92"/>
    <x v="0"/>
    <x v="23"/>
    <x v="0"/>
    <x v="1"/>
    <x v="1"/>
    <x v="328"/>
  </r>
  <r>
    <x v="329"/>
    <n v="72"/>
    <x v="1"/>
    <x v="150"/>
    <x v="0"/>
    <x v="2"/>
    <x v="1"/>
    <x v="329"/>
  </r>
  <r>
    <x v="330"/>
    <n v="74"/>
    <x v="1"/>
    <x v="150"/>
    <x v="2"/>
    <x v="0"/>
    <x v="2"/>
    <x v="330"/>
  </r>
  <r>
    <x v="331"/>
    <n v="7"/>
    <x v="1"/>
    <x v="73"/>
    <x v="0"/>
    <x v="0"/>
    <x v="1"/>
    <x v="331"/>
  </r>
  <r>
    <x v="332"/>
    <n v="24"/>
    <x v="1"/>
    <x v="119"/>
    <x v="0"/>
    <x v="0"/>
    <x v="1"/>
    <x v="332"/>
  </r>
  <r>
    <x v="333"/>
    <n v="10"/>
    <x v="0"/>
    <x v="53"/>
    <x v="1"/>
    <x v="1"/>
    <x v="2"/>
    <x v="333"/>
  </r>
  <r>
    <x v="334"/>
    <n v="26"/>
    <x v="2"/>
    <x v="110"/>
    <x v="2"/>
    <x v="0"/>
    <x v="1"/>
    <x v="334"/>
  </r>
  <r>
    <x v="335"/>
    <n v="92"/>
    <x v="2"/>
    <x v="151"/>
    <x v="2"/>
    <x v="2"/>
    <x v="1"/>
    <x v="335"/>
  </r>
  <r>
    <x v="336"/>
    <n v="68"/>
    <x v="2"/>
    <x v="52"/>
    <x v="0"/>
    <x v="0"/>
    <x v="1"/>
    <x v="336"/>
  </r>
  <r>
    <x v="337"/>
    <n v="31"/>
    <x v="2"/>
    <x v="41"/>
    <x v="0"/>
    <x v="2"/>
    <x v="2"/>
    <x v="337"/>
  </r>
  <r>
    <x v="338"/>
    <n v="41"/>
    <x v="0"/>
    <x v="2"/>
    <x v="0"/>
    <x v="2"/>
    <x v="0"/>
    <x v="338"/>
  </r>
  <r>
    <x v="339"/>
    <n v="95"/>
    <x v="2"/>
    <x v="124"/>
    <x v="0"/>
    <x v="0"/>
    <x v="0"/>
    <x v="339"/>
  </r>
  <r>
    <x v="340"/>
    <n v="17"/>
    <x v="1"/>
    <x v="13"/>
    <x v="2"/>
    <x v="0"/>
    <x v="2"/>
    <x v="340"/>
  </r>
  <r>
    <x v="341"/>
    <n v="4"/>
    <x v="2"/>
    <x v="52"/>
    <x v="1"/>
    <x v="2"/>
    <x v="1"/>
    <x v="341"/>
  </r>
  <r>
    <x v="342"/>
    <n v="96"/>
    <x v="1"/>
    <x v="103"/>
    <x v="0"/>
    <x v="0"/>
    <x v="0"/>
    <x v="342"/>
  </r>
  <r>
    <x v="343"/>
    <n v="81"/>
    <x v="1"/>
    <x v="58"/>
    <x v="0"/>
    <x v="2"/>
    <x v="0"/>
    <x v="343"/>
  </r>
  <r>
    <x v="344"/>
    <n v="61"/>
    <x v="0"/>
    <x v="76"/>
    <x v="1"/>
    <x v="1"/>
    <x v="0"/>
    <x v="344"/>
  </r>
  <r>
    <x v="345"/>
    <n v="97"/>
    <x v="2"/>
    <x v="152"/>
    <x v="2"/>
    <x v="0"/>
    <x v="2"/>
    <x v="345"/>
  </r>
  <r>
    <x v="346"/>
    <n v="90"/>
    <x v="1"/>
    <x v="44"/>
    <x v="0"/>
    <x v="0"/>
    <x v="0"/>
    <x v="346"/>
  </r>
  <r>
    <x v="347"/>
    <n v="29"/>
    <x v="2"/>
    <x v="153"/>
    <x v="0"/>
    <x v="1"/>
    <x v="0"/>
    <x v="347"/>
  </r>
  <r>
    <x v="348"/>
    <n v="45"/>
    <x v="2"/>
    <x v="14"/>
    <x v="2"/>
    <x v="0"/>
    <x v="1"/>
    <x v="348"/>
  </r>
  <r>
    <x v="349"/>
    <n v="33"/>
    <x v="0"/>
    <x v="36"/>
    <x v="0"/>
    <x v="2"/>
    <x v="0"/>
    <x v="349"/>
  </r>
  <r>
    <x v="350"/>
    <n v="44"/>
    <x v="2"/>
    <x v="98"/>
    <x v="2"/>
    <x v="0"/>
    <x v="0"/>
    <x v="350"/>
  </r>
  <r>
    <x v="351"/>
    <n v="30"/>
    <x v="1"/>
    <x v="42"/>
    <x v="2"/>
    <x v="0"/>
    <x v="0"/>
    <x v="351"/>
  </r>
  <r>
    <x v="352"/>
    <n v="29"/>
    <x v="1"/>
    <x v="152"/>
    <x v="0"/>
    <x v="1"/>
    <x v="2"/>
    <x v="352"/>
  </r>
  <r>
    <x v="353"/>
    <n v="26"/>
    <x v="0"/>
    <x v="154"/>
    <x v="2"/>
    <x v="0"/>
    <x v="2"/>
    <x v="353"/>
  </r>
  <r>
    <x v="354"/>
    <n v="18"/>
    <x v="2"/>
    <x v="121"/>
    <x v="1"/>
    <x v="1"/>
    <x v="2"/>
    <x v="354"/>
  </r>
  <r>
    <x v="355"/>
    <n v="9"/>
    <x v="1"/>
    <x v="89"/>
    <x v="1"/>
    <x v="1"/>
    <x v="0"/>
    <x v="355"/>
  </r>
  <r>
    <x v="356"/>
    <n v="50"/>
    <x v="2"/>
    <x v="131"/>
    <x v="0"/>
    <x v="1"/>
    <x v="0"/>
    <x v="356"/>
  </r>
  <r>
    <x v="357"/>
    <n v="71"/>
    <x v="2"/>
    <x v="102"/>
    <x v="2"/>
    <x v="1"/>
    <x v="1"/>
    <x v="357"/>
  </r>
  <r>
    <x v="358"/>
    <n v="27"/>
    <x v="1"/>
    <x v="68"/>
    <x v="1"/>
    <x v="1"/>
    <x v="1"/>
    <x v="358"/>
  </r>
  <r>
    <x v="359"/>
    <n v="82"/>
    <x v="1"/>
    <x v="111"/>
    <x v="1"/>
    <x v="2"/>
    <x v="0"/>
    <x v="359"/>
  </r>
  <r>
    <x v="360"/>
    <n v="19"/>
    <x v="1"/>
    <x v="98"/>
    <x v="0"/>
    <x v="2"/>
    <x v="2"/>
    <x v="360"/>
  </r>
  <r>
    <x v="361"/>
    <n v="45"/>
    <x v="0"/>
    <x v="11"/>
    <x v="2"/>
    <x v="0"/>
    <x v="2"/>
    <x v="361"/>
  </r>
  <r>
    <x v="362"/>
    <n v="12"/>
    <x v="0"/>
    <x v="11"/>
    <x v="1"/>
    <x v="0"/>
    <x v="0"/>
    <x v="362"/>
  </r>
  <r>
    <x v="363"/>
    <n v="54"/>
    <x v="1"/>
    <x v="113"/>
    <x v="0"/>
    <x v="0"/>
    <x v="0"/>
    <x v="363"/>
  </r>
  <r>
    <x v="364"/>
    <n v="40"/>
    <x v="0"/>
    <x v="81"/>
    <x v="0"/>
    <x v="0"/>
    <x v="2"/>
    <x v="364"/>
  </r>
  <r>
    <x v="365"/>
    <n v="95"/>
    <x v="1"/>
    <x v="30"/>
    <x v="1"/>
    <x v="1"/>
    <x v="0"/>
    <x v="365"/>
  </r>
  <r>
    <x v="366"/>
    <n v="21"/>
    <x v="1"/>
    <x v="142"/>
    <x v="1"/>
    <x v="2"/>
    <x v="0"/>
    <x v="366"/>
  </r>
  <r>
    <x v="367"/>
    <n v="35"/>
    <x v="1"/>
    <x v="150"/>
    <x v="1"/>
    <x v="2"/>
    <x v="0"/>
    <x v="367"/>
  </r>
  <r>
    <x v="368"/>
    <n v="47"/>
    <x v="1"/>
    <x v="7"/>
    <x v="1"/>
    <x v="1"/>
    <x v="0"/>
    <x v="368"/>
  </r>
  <r>
    <x v="369"/>
    <n v="93"/>
    <x v="0"/>
    <x v="99"/>
    <x v="1"/>
    <x v="0"/>
    <x v="0"/>
    <x v="369"/>
  </r>
  <r>
    <x v="370"/>
    <n v="74"/>
    <x v="0"/>
    <x v="23"/>
    <x v="1"/>
    <x v="2"/>
    <x v="0"/>
    <x v="370"/>
  </r>
  <r>
    <x v="371"/>
    <n v="76"/>
    <x v="2"/>
    <x v="15"/>
    <x v="2"/>
    <x v="0"/>
    <x v="0"/>
    <x v="371"/>
  </r>
  <r>
    <x v="372"/>
    <n v="92"/>
    <x v="1"/>
    <x v="50"/>
    <x v="2"/>
    <x v="2"/>
    <x v="2"/>
    <x v="372"/>
  </r>
  <r>
    <x v="373"/>
    <n v="5"/>
    <x v="0"/>
    <x v="155"/>
    <x v="1"/>
    <x v="2"/>
    <x v="0"/>
    <x v="373"/>
  </r>
  <r>
    <x v="374"/>
    <n v="48"/>
    <x v="1"/>
    <x v="122"/>
    <x v="1"/>
    <x v="0"/>
    <x v="0"/>
    <x v="374"/>
  </r>
  <r>
    <x v="375"/>
    <n v="54"/>
    <x v="1"/>
    <x v="156"/>
    <x v="0"/>
    <x v="2"/>
    <x v="2"/>
    <x v="375"/>
  </r>
  <r>
    <x v="376"/>
    <n v="97"/>
    <x v="0"/>
    <x v="94"/>
    <x v="0"/>
    <x v="2"/>
    <x v="1"/>
    <x v="376"/>
  </r>
  <r>
    <x v="377"/>
    <n v="41"/>
    <x v="0"/>
    <x v="144"/>
    <x v="2"/>
    <x v="0"/>
    <x v="0"/>
    <x v="377"/>
  </r>
  <r>
    <x v="378"/>
    <n v="34"/>
    <x v="2"/>
    <x v="95"/>
    <x v="2"/>
    <x v="0"/>
    <x v="2"/>
    <x v="378"/>
  </r>
  <r>
    <x v="379"/>
    <n v="25"/>
    <x v="2"/>
    <x v="81"/>
    <x v="0"/>
    <x v="1"/>
    <x v="2"/>
    <x v="379"/>
  </r>
  <r>
    <x v="380"/>
    <n v="27"/>
    <x v="2"/>
    <x v="109"/>
    <x v="2"/>
    <x v="2"/>
    <x v="0"/>
    <x v="380"/>
  </r>
  <r>
    <x v="381"/>
    <n v="74"/>
    <x v="2"/>
    <x v="123"/>
    <x v="0"/>
    <x v="0"/>
    <x v="2"/>
    <x v="381"/>
  </r>
  <r>
    <x v="382"/>
    <n v="51"/>
    <x v="1"/>
    <x v="134"/>
    <x v="0"/>
    <x v="1"/>
    <x v="0"/>
    <x v="382"/>
  </r>
  <r>
    <x v="383"/>
    <n v="98"/>
    <x v="2"/>
    <x v="128"/>
    <x v="1"/>
    <x v="1"/>
    <x v="1"/>
    <x v="383"/>
  </r>
  <r>
    <x v="384"/>
    <n v="83"/>
    <x v="0"/>
    <x v="156"/>
    <x v="1"/>
    <x v="2"/>
    <x v="1"/>
    <x v="384"/>
  </r>
  <r>
    <x v="385"/>
    <n v="60"/>
    <x v="0"/>
    <x v="96"/>
    <x v="2"/>
    <x v="2"/>
    <x v="0"/>
    <x v="385"/>
  </r>
  <r>
    <x v="386"/>
    <n v="84"/>
    <x v="1"/>
    <x v="40"/>
    <x v="2"/>
    <x v="1"/>
    <x v="2"/>
    <x v="386"/>
  </r>
  <r>
    <x v="387"/>
    <n v="32"/>
    <x v="0"/>
    <x v="68"/>
    <x v="1"/>
    <x v="0"/>
    <x v="1"/>
    <x v="387"/>
  </r>
  <r>
    <x v="388"/>
    <n v="49"/>
    <x v="0"/>
    <x v="51"/>
    <x v="1"/>
    <x v="0"/>
    <x v="1"/>
    <x v="388"/>
  </r>
  <r>
    <x v="389"/>
    <n v="1"/>
    <x v="0"/>
    <x v="44"/>
    <x v="2"/>
    <x v="1"/>
    <x v="1"/>
    <x v="389"/>
  </r>
  <r>
    <x v="390"/>
    <n v="7"/>
    <x v="1"/>
    <x v="105"/>
    <x v="1"/>
    <x v="0"/>
    <x v="0"/>
    <x v="390"/>
  </r>
  <r>
    <x v="391"/>
    <n v="81"/>
    <x v="1"/>
    <x v="10"/>
    <x v="0"/>
    <x v="1"/>
    <x v="1"/>
    <x v="391"/>
  </r>
  <r>
    <x v="392"/>
    <n v="24"/>
    <x v="2"/>
    <x v="82"/>
    <x v="2"/>
    <x v="1"/>
    <x v="0"/>
    <x v="392"/>
  </r>
  <r>
    <x v="393"/>
    <n v="37"/>
    <x v="1"/>
    <x v="129"/>
    <x v="1"/>
    <x v="2"/>
    <x v="2"/>
    <x v="393"/>
  </r>
  <r>
    <x v="394"/>
    <n v="81"/>
    <x v="1"/>
    <x v="54"/>
    <x v="2"/>
    <x v="1"/>
    <x v="1"/>
    <x v="394"/>
  </r>
  <r>
    <x v="395"/>
    <n v="84"/>
    <x v="2"/>
    <x v="80"/>
    <x v="2"/>
    <x v="1"/>
    <x v="0"/>
    <x v="395"/>
  </r>
  <r>
    <x v="396"/>
    <n v="79"/>
    <x v="1"/>
    <x v="51"/>
    <x v="2"/>
    <x v="2"/>
    <x v="0"/>
    <x v="396"/>
  </r>
  <r>
    <x v="397"/>
    <n v="3"/>
    <x v="0"/>
    <x v="157"/>
    <x v="2"/>
    <x v="0"/>
    <x v="2"/>
    <x v="397"/>
  </r>
  <r>
    <x v="398"/>
    <n v="50"/>
    <x v="1"/>
    <x v="158"/>
    <x v="2"/>
    <x v="1"/>
    <x v="2"/>
    <x v="398"/>
  </r>
  <r>
    <x v="399"/>
    <n v="44"/>
    <x v="2"/>
    <x v="159"/>
    <x v="0"/>
    <x v="2"/>
    <x v="2"/>
    <x v="399"/>
  </r>
  <r>
    <x v="400"/>
    <n v="34"/>
    <x v="1"/>
    <x v="91"/>
    <x v="1"/>
    <x v="1"/>
    <x v="1"/>
    <x v="400"/>
  </r>
  <r>
    <x v="401"/>
    <n v="41"/>
    <x v="1"/>
    <x v="20"/>
    <x v="1"/>
    <x v="0"/>
    <x v="2"/>
    <x v="401"/>
  </r>
  <r>
    <x v="402"/>
    <n v="6"/>
    <x v="2"/>
    <x v="160"/>
    <x v="2"/>
    <x v="0"/>
    <x v="2"/>
    <x v="402"/>
  </r>
  <r>
    <x v="403"/>
    <n v="47"/>
    <x v="0"/>
    <x v="67"/>
    <x v="2"/>
    <x v="0"/>
    <x v="1"/>
    <x v="403"/>
  </r>
  <r>
    <x v="404"/>
    <n v="4"/>
    <x v="1"/>
    <x v="125"/>
    <x v="1"/>
    <x v="0"/>
    <x v="0"/>
    <x v="404"/>
  </r>
  <r>
    <x v="405"/>
    <n v="39"/>
    <x v="1"/>
    <x v="61"/>
    <x v="0"/>
    <x v="2"/>
    <x v="0"/>
    <x v="405"/>
  </r>
  <r>
    <x v="406"/>
    <n v="10"/>
    <x v="1"/>
    <x v="147"/>
    <x v="1"/>
    <x v="1"/>
    <x v="0"/>
    <x v="406"/>
  </r>
  <r>
    <x v="407"/>
    <n v="45"/>
    <x v="0"/>
    <x v="62"/>
    <x v="1"/>
    <x v="0"/>
    <x v="0"/>
    <x v="407"/>
  </r>
  <r>
    <x v="408"/>
    <n v="46"/>
    <x v="1"/>
    <x v="54"/>
    <x v="2"/>
    <x v="0"/>
    <x v="1"/>
    <x v="408"/>
  </r>
  <r>
    <x v="409"/>
    <n v="5"/>
    <x v="2"/>
    <x v="154"/>
    <x v="2"/>
    <x v="2"/>
    <x v="0"/>
    <x v="409"/>
  </r>
  <r>
    <x v="410"/>
    <n v="86"/>
    <x v="1"/>
    <x v="161"/>
    <x v="0"/>
    <x v="0"/>
    <x v="0"/>
    <x v="410"/>
  </r>
  <r>
    <x v="411"/>
    <n v="97"/>
    <x v="1"/>
    <x v="72"/>
    <x v="1"/>
    <x v="0"/>
    <x v="1"/>
    <x v="411"/>
  </r>
  <r>
    <x v="412"/>
    <n v="20"/>
    <x v="0"/>
    <x v="95"/>
    <x v="1"/>
    <x v="0"/>
    <x v="0"/>
    <x v="412"/>
  </r>
  <r>
    <x v="413"/>
    <n v="36"/>
    <x v="0"/>
    <x v="83"/>
    <x v="0"/>
    <x v="2"/>
    <x v="1"/>
    <x v="413"/>
  </r>
  <r>
    <x v="414"/>
    <n v="7"/>
    <x v="0"/>
    <x v="144"/>
    <x v="0"/>
    <x v="1"/>
    <x v="1"/>
    <x v="414"/>
  </r>
  <r>
    <x v="415"/>
    <n v="53"/>
    <x v="2"/>
    <x v="102"/>
    <x v="0"/>
    <x v="2"/>
    <x v="1"/>
    <x v="415"/>
  </r>
  <r>
    <x v="416"/>
    <n v="37"/>
    <x v="2"/>
    <x v="51"/>
    <x v="0"/>
    <x v="1"/>
    <x v="0"/>
    <x v="416"/>
  </r>
  <r>
    <x v="417"/>
    <n v="81"/>
    <x v="1"/>
    <x v="37"/>
    <x v="1"/>
    <x v="2"/>
    <x v="2"/>
    <x v="417"/>
  </r>
  <r>
    <x v="418"/>
    <n v="61"/>
    <x v="1"/>
    <x v="145"/>
    <x v="0"/>
    <x v="0"/>
    <x v="0"/>
    <x v="418"/>
  </r>
  <r>
    <x v="419"/>
    <n v="56"/>
    <x v="0"/>
    <x v="104"/>
    <x v="2"/>
    <x v="1"/>
    <x v="1"/>
    <x v="419"/>
  </r>
  <r>
    <x v="420"/>
    <n v="79"/>
    <x v="1"/>
    <x v="80"/>
    <x v="1"/>
    <x v="0"/>
    <x v="0"/>
    <x v="420"/>
  </r>
  <r>
    <x v="421"/>
    <n v="12"/>
    <x v="1"/>
    <x v="61"/>
    <x v="1"/>
    <x v="2"/>
    <x v="2"/>
    <x v="421"/>
  </r>
  <r>
    <x v="422"/>
    <n v="66"/>
    <x v="2"/>
    <x v="118"/>
    <x v="1"/>
    <x v="1"/>
    <x v="1"/>
    <x v="422"/>
  </r>
  <r>
    <x v="423"/>
    <n v="27"/>
    <x v="0"/>
    <x v="57"/>
    <x v="0"/>
    <x v="2"/>
    <x v="0"/>
    <x v="423"/>
  </r>
  <r>
    <x v="424"/>
    <n v="88"/>
    <x v="1"/>
    <x v="10"/>
    <x v="0"/>
    <x v="2"/>
    <x v="0"/>
    <x v="424"/>
  </r>
  <r>
    <x v="425"/>
    <n v="62"/>
    <x v="1"/>
    <x v="5"/>
    <x v="1"/>
    <x v="1"/>
    <x v="2"/>
    <x v="425"/>
  </r>
  <r>
    <x v="426"/>
    <n v="10"/>
    <x v="0"/>
    <x v="97"/>
    <x v="2"/>
    <x v="1"/>
    <x v="2"/>
    <x v="426"/>
  </r>
  <r>
    <x v="427"/>
    <n v="61"/>
    <x v="0"/>
    <x v="162"/>
    <x v="1"/>
    <x v="1"/>
    <x v="0"/>
    <x v="427"/>
  </r>
  <r>
    <x v="428"/>
    <n v="15"/>
    <x v="1"/>
    <x v="29"/>
    <x v="0"/>
    <x v="2"/>
    <x v="0"/>
    <x v="428"/>
  </r>
  <r>
    <x v="429"/>
    <n v="72"/>
    <x v="0"/>
    <x v="163"/>
    <x v="2"/>
    <x v="0"/>
    <x v="1"/>
    <x v="429"/>
  </r>
  <r>
    <x v="430"/>
    <n v="77"/>
    <x v="1"/>
    <x v="164"/>
    <x v="2"/>
    <x v="1"/>
    <x v="0"/>
    <x v="430"/>
  </r>
  <r>
    <x v="431"/>
    <n v="56"/>
    <x v="2"/>
    <x v="10"/>
    <x v="2"/>
    <x v="2"/>
    <x v="1"/>
    <x v="431"/>
  </r>
  <r>
    <x v="432"/>
    <n v="18"/>
    <x v="2"/>
    <x v="13"/>
    <x v="0"/>
    <x v="0"/>
    <x v="1"/>
    <x v="432"/>
  </r>
  <r>
    <x v="433"/>
    <n v="42"/>
    <x v="1"/>
    <x v="165"/>
    <x v="2"/>
    <x v="0"/>
    <x v="2"/>
    <x v="433"/>
  </r>
  <r>
    <x v="434"/>
    <n v="41"/>
    <x v="0"/>
    <x v="74"/>
    <x v="2"/>
    <x v="2"/>
    <x v="0"/>
    <x v="434"/>
  </r>
  <r>
    <x v="435"/>
    <n v="44"/>
    <x v="0"/>
    <x v="93"/>
    <x v="2"/>
    <x v="0"/>
    <x v="0"/>
    <x v="435"/>
  </r>
  <r>
    <x v="436"/>
    <n v="82"/>
    <x v="2"/>
    <x v="19"/>
    <x v="0"/>
    <x v="0"/>
    <x v="1"/>
    <x v="436"/>
  </r>
  <r>
    <x v="437"/>
    <n v="39"/>
    <x v="1"/>
    <x v="79"/>
    <x v="0"/>
    <x v="1"/>
    <x v="0"/>
    <x v="437"/>
  </r>
  <r>
    <x v="438"/>
    <n v="63"/>
    <x v="1"/>
    <x v="154"/>
    <x v="2"/>
    <x v="2"/>
    <x v="0"/>
    <x v="438"/>
  </r>
  <r>
    <x v="439"/>
    <n v="78"/>
    <x v="0"/>
    <x v="114"/>
    <x v="2"/>
    <x v="1"/>
    <x v="0"/>
    <x v="439"/>
  </r>
  <r>
    <x v="440"/>
    <n v="92"/>
    <x v="0"/>
    <x v="93"/>
    <x v="1"/>
    <x v="2"/>
    <x v="1"/>
    <x v="440"/>
  </r>
  <r>
    <x v="441"/>
    <n v="92"/>
    <x v="0"/>
    <x v="58"/>
    <x v="0"/>
    <x v="0"/>
    <x v="2"/>
    <x v="441"/>
  </r>
  <r>
    <x v="442"/>
    <n v="16"/>
    <x v="2"/>
    <x v="33"/>
    <x v="1"/>
    <x v="1"/>
    <x v="1"/>
    <x v="442"/>
  </r>
  <r>
    <x v="443"/>
    <n v="63"/>
    <x v="1"/>
    <x v="131"/>
    <x v="1"/>
    <x v="2"/>
    <x v="2"/>
    <x v="443"/>
  </r>
  <r>
    <x v="444"/>
    <n v="65"/>
    <x v="1"/>
    <x v="37"/>
    <x v="0"/>
    <x v="0"/>
    <x v="2"/>
    <x v="444"/>
  </r>
  <r>
    <x v="445"/>
    <n v="60"/>
    <x v="2"/>
    <x v="14"/>
    <x v="0"/>
    <x v="2"/>
    <x v="1"/>
    <x v="445"/>
  </r>
  <r>
    <x v="446"/>
    <n v="58"/>
    <x v="0"/>
    <x v="80"/>
    <x v="1"/>
    <x v="0"/>
    <x v="1"/>
    <x v="446"/>
  </r>
  <r>
    <x v="447"/>
    <n v="69"/>
    <x v="1"/>
    <x v="122"/>
    <x v="0"/>
    <x v="2"/>
    <x v="2"/>
    <x v="447"/>
  </r>
  <r>
    <x v="448"/>
    <n v="7"/>
    <x v="1"/>
    <x v="46"/>
    <x v="0"/>
    <x v="2"/>
    <x v="0"/>
    <x v="448"/>
  </r>
  <r>
    <x v="449"/>
    <n v="80"/>
    <x v="1"/>
    <x v="87"/>
    <x v="1"/>
    <x v="0"/>
    <x v="1"/>
    <x v="449"/>
  </r>
  <r>
    <x v="450"/>
    <n v="55"/>
    <x v="1"/>
    <x v="23"/>
    <x v="1"/>
    <x v="1"/>
    <x v="2"/>
    <x v="450"/>
  </r>
  <r>
    <x v="451"/>
    <n v="6"/>
    <x v="0"/>
    <x v="166"/>
    <x v="1"/>
    <x v="1"/>
    <x v="0"/>
    <x v="451"/>
  </r>
  <r>
    <x v="452"/>
    <n v="86"/>
    <x v="0"/>
    <x v="102"/>
    <x v="0"/>
    <x v="2"/>
    <x v="2"/>
    <x v="452"/>
  </r>
  <r>
    <x v="453"/>
    <n v="70"/>
    <x v="1"/>
    <x v="132"/>
    <x v="0"/>
    <x v="2"/>
    <x v="1"/>
    <x v="453"/>
  </r>
  <r>
    <x v="454"/>
    <n v="50"/>
    <x v="0"/>
    <x v="132"/>
    <x v="0"/>
    <x v="2"/>
    <x v="2"/>
    <x v="454"/>
  </r>
  <r>
    <x v="455"/>
    <n v="20"/>
    <x v="0"/>
    <x v="95"/>
    <x v="2"/>
    <x v="1"/>
    <x v="2"/>
    <x v="455"/>
  </r>
  <r>
    <x v="456"/>
    <n v="63"/>
    <x v="0"/>
    <x v="61"/>
    <x v="2"/>
    <x v="0"/>
    <x v="1"/>
    <x v="456"/>
  </r>
  <r>
    <x v="457"/>
    <n v="66"/>
    <x v="1"/>
    <x v="87"/>
    <x v="1"/>
    <x v="2"/>
    <x v="0"/>
    <x v="457"/>
  </r>
  <r>
    <x v="458"/>
    <n v="64"/>
    <x v="1"/>
    <x v="167"/>
    <x v="0"/>
    <x v="2"/>
    <x v="1"/>
    <x v="458"/>
  </r>
  <r>
    <x v="459"/>
    <n v="66"/>
    <x v="0"/>
    <x v="48"/>
    <x v="0"/>
    <x v="0"/>
    <x v="0"/>
    <x v="459"/>
  </r>
  <r>
    <x v="460"/>
    <n v="95"/>
    <x v="1"/>
    <x v="85"/>
    <x v="1"/>
    <x v="0"/>
    <x v="0"/>
    <x v="460"/>
  </r>
  <r>
    <x v="461"/>
    <n v="56"/>
    <x v="0"/>
    <x v="47"/>
    <x v="1"/>
    <x v="0"/>
    <x v="2"/>
    <x v="461"/>
  </r>
  <r>
    <x v="462"/>
    <n v="75"/>
    <x v="1"/>
    <x v="53"/>
    <x v="2"/>
    <x v="0"/>
    <x v="1"/>
    <x v="462"/>
  </r>
  <r>
    <x v="463"/>
    <n v="81"/>
    <x v="1"/>
    <x v="99"/>
    <x v="0"/>
    <x v="2"/>
    <x v="0"/>
    <x v="463"/>
  </r>
  <r>
    <x v="464"/>
    <n v="39"/>
    <x v="0"/>
    <x v="56"/>
    <x v="1"/>
    <x v="0"/>
    <x v="2"/>
    <x v="464"/>
  </r>
  <r>
    <x v="465"/>
    <n v="57"/>
    <x v="2"/>
    <x v="134"/>
    <x v="2"/>
    <x v="1"/>
    <x v="0"/>
    <x v="465"/>
  </r>
  <r>
    <x v="466"/>
    <n v="83"/>
    <x v="2"/>
    <x v="161"/>
    <x v="1"/>
    <x v="2"/>
    <x v="1"/>
    <x v="466"/>
  </r>
  <r>
    <x v="467"/>
    <n v="98"/>
    <x v="1"/>
    <x v="162"/>
    <x v="1"/>
    <x v="0"/>
    <x v="0"/>
    <x v="467"/>
  </r>
  <r>
    <x v="468"/>
    <n v="90"/>
    <x v="1"/>
    <x v="9"/>
    <x v="2"/>
    <x v="2"/>
    <x v="2"/>
    <x v="468"/>
  </r>
  <r>
    <x v="469"/>
    <n v="76"/>
    <x v="0"/>
    <x v="78"/>
    <x v="0"/>
    <x v="0"/>
    <x v="0"/>
    <x v="469"/>
  </r>
  <r>
    <x v="470"/>
    <n v="89"/>
    <x v="2"/>
    <x v="125"/>
    <x v="1"/>
    <x v="0"/>
    <x v="2"/>
    <x v="470"/>
  </r>
  <r>
    <x v="471"/>
    <n v="43"/>
    <x v="1"/>
    <x v="125"/>
    <x v="1"/>
    <x v="1"/>
    <x v="0"/>
    <x v="471"/>
  </r>
  <r>
    <x v="472"/>
    <n v="38"/>
    <x v="0"/>
    <x v="10"/>
    <x v="1"/>
    <x v="0"/>
    <x v="2"/>
    <x v="472"/>
  </r>
  <r>
    <x v="473"/>
    <n v="62"/>
    <x v="2"/>
    <x v="83"/>
    <x v="0"/>
    <x v="2"/>
    <x v="1"/>
    <x v="473"/>
  </r>
  <r>
    <x v="474"/>
    <n v="97"/>
    <x v="2"/>
    <x v="168"/>
    <x v="2"/>
    <x v="2"/>
    <x v="2"/>
    <x v="474"/>
  </r>
  <r>
    <x v="475"/>
    <n v="86"/>
    <x v="2"/>
    <x v="84"/>
    <x v="1"/>
    <x v="1"/>
    <x v="0"/>
    <x v="475"/>
  </r>
  <r>
    <x v="476"/>
    <n v="38"/>
    <x v="1"/>
    <x v="20"/>
    <x v="0"/>
    <x v="1"/>
    <x v="0"/>
    <x v="476"/>
  </r>
  <r>
    <x v="477"/>
    <n v="58"/>
    <x v="1"/>
    <x v="169"/>
    <x v="2"/>
    <x v="2"/>
    <x v="0"/>
    <x v="477"/>
  </r>
  <r>
    <x v="478"/>
    <n v="32"/>
    <x v="2"/>
    <x v="98"/>
    <x v="0"/>
    <x v="1"/>
    <x v="0"/>
    <x v="478"/>
  </r>
  <r>
    <x v="479"/>
    <n v="78"/>
    <x v="1"/>
    <x v="109"/>
    <x v="1"/>
    <x v="0"/>
    <x v="1"/>
    <x v="479"/>
  </r>
  <r>
    <x v="480"/>
    <n v="66"/>
    <x v="2"/>
    <x v="111"/>
    <x v="2"/>
    <x v="1"/>
    <x v="1"/>
    <x v="480"/>
  </r>
  <r>
    <x v="481"/>
    <n v="68"/>
    <x v="0"/>
    <x v="170"/>
    <x v="2"/>
    <x v="1"/>
    <x v="0"/>
    <x v="481"/>
  </r>
  <r>
    <x v="482"/>
    <n v="10"/>
    <x v="0"/>
    <x v="68"/>
    <x v="0"/>
    <x v="2"/>
    <x v="0"/>
    <x v="482"/>
  </r>
  <r>
    <x v="483"/>
    <n v="77"/>
    <x v="2"/>
    <x v="171"/>
    <x v="1"/>
    <x v="0"/>
    <x v="2"/>
    <x v="483"/>
  </r>
  <r>
    <x v="484"/>
    <n v="50"/>
    <x v="0"/>
    <x v="110"/>
    <x v="2"/>
    <x v="0"/>
    <x v="2"/>
    <x v="484"/>
  </r>
  <r>
    <x v="485"/>
    <n v="97"/>
    <x v="2"/>
    <x v="27"/>
    <x v="1"/>
    <x v="1"/>
    <x v="1"/>
    <x v="485"/>
  </r>
  <r>
    <x v="486"/>
    <n v="26"/>
    <x v="2"/>
    <x v="154"/>
    <x v="1"/>
    <x v="1"/>
    <x v="2"/>
    <x v="486"/>
  </r>
  <r>
    <x v="487"/>
    <n v="51"/>
    <x v="2"/>
    <x v="30"/>
    <x v="2"/>
    <x v="0"/>
    <x v="1"/>
    <x v="487"/>
  </r>
  <r>
    <x v="488"/>
    <n v="57"/>
    <x v="2"/>
    <x v="122"/>
    <x v="1"/>
    <x v="0"/>
    <x v="0"/>
    <x v="488"/>
  </r>
  <r>
    <x v="489"/>
    <n v="12"/>
    <x v="1"/>
    <x v="35"/>
    <x v="1"/>
    <x v="0"/>
    <x v="2"/>
    <x v="489"/>
  </r>
  <r>
    <x v="490"/>
    <n v="90"/>
    <x v="1"/>
    <x v="21"/>
    <x v="1"/>
    <x v="1"/>
    <x v="2"/>
    <x v="490"/>
  </r>
  <r>
    <x v="491"/>
    <n v="79"/>
    <x v="1"/>
    <x v="172"/>
    <x v="0"/>
    <x v="2"/>
    <x v="0"/>
    <x v="491"/>
  </r>
  <r>
    <x v="492"/>
    <n v="58"/>
    <x v="1"/>
    <x v="82"/>
    <x v="0"/>
    <x v="1"/>
    <x v="2"/>
    <x v="492"/>
  </r>
  <r>
    <x v="493"/>
    <n v="31"/>
    <x v="0"/>
    <x v="150"/>
    <x v="1"/>
    <x v="1"/>
    <x v="0"/>
    <x v="493"/>
  </r>
  <r>
    <x v="494"/>
    <n v="49"/>
    <x v="0"/>
    <x v="126"/>
    <x v="2"/>
    <x v="2"/>
    <x v="1"/>
    <x v="494"/>
  </r>
  <r>
    <x v="495"/>
    <n v="6"/>
    <x v="1"/>
    <x v="94"/>
    <x v="1"/>
    <x v="1"/>
    <x v="0"/>
    <x v="495"/>
  </r>
  <r>
    <x v="496"/>
    <n v="49"/>
    <x v="1"/>
    <x v="3"/>
    <x v="0"/>
    <x v="1"/>
    <x v="0"/>
    <x v="496"/>
  </r>
  <r>
    <x v="497"/>
    <n v="87"/>
    <x v="2"/>
    <x v="173"/>
    <x v="1"/>
    <x v="2"/>
    <x v="0"/>
    <x v="497"/>
  </r>
  <r>
    <x v="498"/>
    <n v="60"/>
    <x v="2"/>
    <x v="71"/>
    <x v="2"/>
    <x v="2"/>
    <x v="0"/>
    <x v="498"/>
  </r>
  <r>
    <x v="499"/>
    <n v="100"/>
    <x v="1"/>
    <x v="91"/>
    <x v="2"/>
    <x v="2"/>
    <x v="2"/>
    <x v="499"/>
  </r>
  <r>
    <x v="500"/>
    <n v="46"/>
    <x v="0"/>
    <x v="24"/>
    <x v="2"/>
    <x v="0"/>
    <x v="0"/>
    <x v="500"/>
  </r>
  <r>
    <x v="501"/>
    <n v="62"/>
    <x v="0"/>
    <x v="1"/>
    <x v="2"/>
    <x v="0"/>
    <x v="1"/>
    <x v="501"/>
  </r>
  <r>
    <x v="502"/>
    <n v="91"/>
    <x v="2"/>
    <x v="155"/>
    <x v="2"/>
    <x v="1"/>
    <x v="2"/>
    <x v="502"/>
  </r>
  <r>
    <x v="503"/>
    <n v="74"/>
    <x v="2"/>
    <x v="138"/>
    <x v="1"/>
    <x v="2"/>
    <x v="2"/>
    <x v="503"/>
  </r>
  <r>
    <x v="504"/>
    <n v="92"/>
    <x v="0"/>
    <x v="61"/>
    <x v="2"/>
    <x v="0"/>
    <x v="0"/>
    <x v="504"/>
  </r>
  <r>
    <x v="505"/>
    <n v="66"/>
    <x v="0"/>
    <x v="128"/>
    <x v="1"/>
    <x v="1"/>
    <x v="0"/>
    <x v="505"/>
  </r>
  <r>
    <x v="506"/>
    <n v="81"/>
    <x v="2"/>
    <x v="6"/>
    <x v="0"/>
    <x v="1"/>
    <x v="2"/>
    <x v="506"/>
  </r>
  <r>
    <x v="507"/>
    <n v="41"/>
    <x v="1"/>
    <x v="30"/>
    <x v="2"/>
    <x v="2"/>
    <x v="0"/>
    <x v="507"/>
  </r>
  <r>
    <x v="508"/>
    <n v="91"/>
    <x v="0"/>
    <x v="172"/>
    <x v="1"/>
    <x v="1"/>
    <x v="1"/>
    <x v="508"/>
  </r>
  <r>
    <x v="509"/>
    <n v="35"/>
    <x v="1"/>
    <x v="52"/>
    <x v="1"/>
    <x v="1"/>
    <x v="1"/>
    <x v="509"/>
  </r>
  <r>
    <x v="510"/>
    <n v="12"/>
    <x v="2"/>
    <x v="11"/>
    <x v="1"/>
    <x v="2"/>
    <x v="2"/>
    <x v="510"/>
  </r>
  <r>
    <x v="511"/>
    <n v="77"/>
    <x v="2"/>
    <x v="19"/>
    <x v="1"/>
    <x v="1"/>
    <x v="1"/>
    <x v="511"/>
  </r>
  <r>
    <x v="512"/>
    <n v="11"/>
    <x v="2"/>
    <x v="37"/>
    <x v="2"/>
    <x v="2"/>
    <x v="0"/>
    <x v="512"/>
  </r>
  <r>
    <x v="513"/>
    <n v="93"/>
    <x v="0"/>
    <x v="44"/>
    <x v="0"/>
    <x v="0"/>
    <x v="0"/>
    <x v="513"/>
  </r>
  <r>
    <x v="514"/>
    <n v="3"/>
    <x v="0"/>
    <x v="97"/>
    <x v="1"/>
    <x v="2"/>
    <x v="2"/>
    <x v="514"/>
  </r>
  <r>
    <x v="515"/>
    <n v="43"/>
    <x v="1"/>
    <x v="11"/>
    <x v="0"/>
    <x v="2"/>
    <x v="1"/>
    <x v="515"/>
  </r>
  <r>
    <x v="516"/>
    <n v="88"/>
    <x v="2"/>
    <x v="144"/>
    <x v="1"/>
    <x v="2"/>
    <x v="2"/>
    <x v="516"/>
  </r>
  <r>
    <x v="517"/>
    <n v="4"/>
    <x v="2"/>
    <x v="3"/>
    <x v="1"/>
    <x v="1"/>
    <x v="1"/>
    <x v="517"/>
  </r>
  <r>
    <x v="518"/>
    <n v="96"/>
    <x v="1"/>
    <x v="93"/>
    <x v="1"/>
    <x v="1"/>
    <x v="2"/>
    <x v="518"/>
  </r>
  <r>
    <x v="519"/>
    <n v="75"/>
    <x v="1"/>
    <x v="165"/>
    <x v="1"/>
    <x v="1"/>
    <x v="0"/>
    <x v="519"/>
  </r>
  <r>
    <x v="520"/>
    <n v="86"/>
    <x v="0"/>
    <x v="109"/>
    <x v="2"/>
    <x v="1"/>
    <x v="0"/>
    <x v="520"/>
  </r>
  <r>
    <x v="521"/>
    <n v="70"/>
    <x v="0"/>
    <x v="24"/>
    <x v="2"/>
    <x v="1"/>
    <x v="2"/>
    <x v="521"/>
  </r>
  <r>
    <x v="522"/>
    <n v="6"/>
    <x v="1"/>
    <x v="146"/>
    <x v="0"/>
    <x v="2"/>
    <x v="1"/>
    <x v="522"/>
  </r>
  <r>
    <x v="523"/>
    <n v="14"/>
    <x v="2"/>
    <x v="171"/>
    <x v="2"/>
    <x v="0"/>
    <x v="0"/>
    <x v="523"/>
  </r>
  <r>
    <x v="524"/>
    <n v="77"/>
    <x v="1"/>
    <x v="42"/>
    <x v="2"/>
    <x v="1"/>
    <x v="2"/>
    <x v="524"/>
  </r>
  <r>
    <x v="525"/>
    <n v="65"/>
    <x v="0"/>
    <x v="171"/>
    <x v="2"/>
    <x v="0"/>
    <x v="2"/>
    <x v="525"/>
  </r>
  <r>
    <x v="526"/>
    <n v="70"/>
    <x v="0"/>
    <x v="91"/>
    <x v="0"/>
    <x v="0"/>
    <x v="2"/>
    <x v="526"/>
  </r>
  <r>
    <x v="527"/>
    <n v="8"/>
    <x v="1"/>
    <x v="174"/>
    <x v="1"/>
    <x v="0"/>
    <x v="1"/>
    <x v="527"/>
  </r>
  <r>
    <x v="528"/>
    <n v="54"/>
    <x v="0"/>
    <x v="23"/>
    <x v="2"/>
    <x v="0"/>
    <x v="2"/>
    <x v="528"/>
  </r>
  <r>
    <x v="529"/>
    <n v="98"/>
    <x v="1"/>
    <x v="72"/>
    <x v="2"/>
    <x v="1"/>
    <x v="1"/>
    <x v="529"/>
  </r>
  <r>
    <x v="530"/>
    <n v="82"/>
    <x v="2"/>
    <x v="131"/>
    <x v="1"/>
    <x v="1"/>
    <x v="0"/>
    <x v="530"/>
  </r>
  <r>
    <x v="531"/>
    <n v="6"/>
    <x v="0"/>
    <x v="171"/>
    <x v="2"/>
    <x v="1"/>
    <x v="2"/>
    <x v="531"/>
  </r>
  <r>
    <x v="532"/>
    <n v="49"/>
    <x v="2"/>
    <x v="175"/>
    <x v="2"/>
    <x v="0"/>
    <x v="0"/>
    <x v="532"/>
  </r>
  <r>
    <x v="533"/>
    <n v="14"/>
    <x v="2"/>
    <x v="61"/>
    <x v="2"/>
    <x v="0"/>
    <x v="0"/>
    <x v="533"/>
  </r>
  <r>
    <x v="534"/>
    <n v="88"/>
    <x v="0"/>
    <x v="113"/>
    <x v="1"/>
    <x v="1"/>
    <x v="1"/>
    <x v="534"/>
  </r>
  <r>
    <x v="535"/>
    <n v="8"/>
    <x v="1"/>
    <x v="164"/>
    <x v="1"/>
    <x v="1"/>
    <x v="1"/>
    <x v="535"/>
  </r>
  <r>
    <x v="536"/>
    <n v="91"/>
    <x v="2"/>
    <x v="155"/>
    <x v="0"/>
    <x v="1"/>
    <x v="0"/>
    <x v="536"/>
  </r>
  <r>
    <x v="537"/>
    <n v="1"/>
    <x v="0"/>
    <x v="4"/>
    <x v="0"/>
    <x v="2"/>
    <x v="1"/>
    <x v="537"/>
  </r>
  <r>
    <x v="538"/>
    <n v="15"/>
    <x v="2"/>
    <x v="165"/>
    <x v="1"/>
    <x v="2"/>
    <x v="2"/>
    <x v="538"/>
  </r>
  <r>
    <x v="539"/>
    <n v="20"/>
    <x v="2"/>
    <x v="40"/>
    <x v="1"/>
    <x v="0"/>
    <x v="2"/>
    <x v="539"/>
  </r>
  <r>
    <x v="540"/>
    <n v="16"/>
    <x v="2"/>
    <x v="149"/>
    <x v="0"/>
    <x v="1"/>
    <x v="2"/>
    <x v="540"/>
  </r>
  <r>
    <x v="541"/>
    <n v="49"/>
    <x v="1"/>
    <x v="33"/>
    <x v="2"/>
    <x v="2"/>
    <x v="2"/>
    <x v="541"/>
  </r>
  <r>
    <x v="542"/>
    <n v="76"/>
    <x v="0"/>
    <x v="176"/>
    <x v="0"/>
    <x v="0"/>
    <x v="0"/>
    <x v="542"/>
  </r>
  <r>
    <x v="543"/>
    <n v="56"/>
    <x v="2"/>
    <x v="79"/>
    <x v="0"/>
    <x v="0"/>
    <x v="1"/>
    <x v="543"/>
  </r>
  <r>
    <x v="544"/>
    <n v="21"/>
    <x v="0"/>
    <x v="173"/>
    <x v="0"/>
    <x v="0"/>
    <x v="0"/>
    <x v="544"/>
  </r>
  <r>
    <x v="545"/>
    <n v="17"/>
    <x v="1"/>
    <x v="6"/>
    <x v="0"/>
    <x v="0"/>
    <x v="2"/>
    <x v="545"/>
  </r>
  <r>
    <x v="546"/>
    <n v="10"/>
    <x v="2"/>
    <x v="10"/>
    <x v="2"/>
    <x v="2"/>
    <x v="0"/>
    <x v="546"/>
  </r>
  <r>
    <x v="547"/>
    <n v="90"/>
    <x v="1"/>
    <x v="162"/>
    <x v="1"/>
    <x v="1"/>
    <x v="1"/>
    <x v="547"/>
  </r>
  <r>
    <x v="548"/>
    <n v="8"/>
    <x v="2"/>
    <x v="25"/>
    <x v="2"/>
    <x v="0"/>
    <x v="0"/>
    <x v="548"/>
  </r>
  <r>
    <x v="549"/>
    <n v="27"/>
    <x v="0"/>
    <x v="138"/>
    <x v="2"/>
    <x v="0"/>
    <x v="1"/>
    <x v="549"/>
  </r>
  <r>
    <x v="550"/>
    <n v="87"/>
    <x v="1"/>
    <x v="148"/>
    <x v="2"/>
    <x v="0"/>
    <x v="1"/>
    <x v="550"/>
  </r>
  <r>
    <x v="551"/>
    <n v="93"/>
    <x v="0"/>
    <x v="31"/>
    <x v="0"/>
    <x v="0"/>
    <x v="1"/>
    <x v="551"/>
  </r>
  <r>
    <x v="552"/>
    <n v="12"/>
    <x v="1"/>
    <x v="156"/>
    <x v="2"/>
    <x v="1"/>
    <x v="2"/>
    <x v="552"/>
  </r>
  <r>
    <x v="553"/>
    <n v="30"/>
    <x v="1"/>
    <x v="126"/>
    <x v="1"/>
    <x v="1"/>
    <x v="1"/>
    <x v="553"/>
  </r>
  <r>
    <x v="554"/>
    <n v="4"/>
    <x v="1"/>
    <x v="18"/>
    <x v="0"/>
    <x v="0"/>
    <x v="1"/>
    <x v="554"/>
  </r>
  <r>
    <x v="555"/>
    <n v="71"/>
    <x v="1"/>
    <x v="177"/>
    <x v="2"/>
    <x v="0"/>
    <x v="0"/>
    <x v="555"/>
  </r>
  <r>
    <x v="556"/>
    <n v="97"/>
    <x v="1"/>
    <x v="114"/>
    <x v="1"/>
    <x v="0"/>
    <x v="2"/>
    <x v="556"/>
  </r>
  <r>
    <x v="557"/>
    <n v="12"/>
    <x v="0"/>
    <x v="151"/>
    <x v="1"/>
    <x v="0"/>
    <x v="0"/>
    <x v="557"/>
  </r>
  <r>
    <x v="558"/>
    <n v="17"/>
    <x v="2"/>
    <x v="167"/>
    <x v="1"/>
    <x v="0"/>
    <x v="2"/>
    <x v="558"/>
  </r>
  <r>
    <x v="559"/>
    <n v="94"/>
    <x v="2"/>
    <x v="80"/>
    <x v="2"/>
    <x v="2"/>
    <x v="2"/>
    <x v="559"/>
  </r>
  <r>
    <x v="560"/>
    <n v="45"/>
    <x v="1"/>
    <x v="57"/>
    <x v="2"/>
    <x v="2"/>
    <x v="1"/>
    <x v="560"/>
  </r>
  <r>
    <x v="561"/>
    <n v="72"/>
    <x v="2"/>
    <x v="6"/>
    <x v="1"/>
    <x v="2"/>
    <x v="2"/>
    <x v="561"/>
  </r>
  <r>
    <x v="562"/>
    <n v="56"/>
    <x v="1"/>
    <x v="145"/>
    <x v="0"/>
    <x v="0"/>
    <x v="1"/>
    <x v="562"/>
  </r>
  <r>
    <x v="563"/>
    <n v="93"/>
    <x v="1"/>
    <x v="47"/>
    <x v="2"/>
    <x v="1"/>
    <x v="2"/>
    <x v="563"/>
  </r>
  <r>
    <x v="564"/>
    <n v="58"/>
    <x v="0"/>
    <x v="6"/>
    <x v="2"/>
    <x v="0"/>
    <x v="2"/>
    <x v="564"/>
  </r>
  <r>
    <x v="565"/>
    <n v="96"/>
    <x v="2"/>
    <x v="68"/>
    <x v="1"/>
    <x v="0"/>
    <x v="1"/>
    <x v="565"/>
  </r>
  <r>
    <x v="566"/>
    <n v="38"/>
    <x v="1"/>
    <x v="30"/>
    <x v="1"/>
    <x v="1"/>
    <x v="1"/>
    <x v="566"/>
  </r>
  <r>
    <x v="567"/>
    <n v="62"/>
    <x v="0"/>
    <x v="130"/>
    <x v="2"/>
    <x v="0"/>
    <x v="1"/>
    <x v="567"/>
  </r>
  <r>
    <x v="568"/>
    <n v="97"/>
    <x v="1"/>
    <x v="15"/>
    <x v="0"/>
    <x v="1"/>
    <x v="1"/>
    <x v="568"/>
  </r>
  <r>
    <x v="569"/>
    <n v="12"/>
    <x v="2"/>
    <x v="97"/>
    <x v="1"/>
    <x v="1"/>
    <x v="0"/>
    <x v="569"/>
  </r>
  <r>
    <x v="570"/>
    <n v="47"/>
    <x v="1"/>
    <x v="91"/>
    <x v="2"/>
    <x v="1"/>
    <x v="2"/>
    <x v="570"/>
  </r>
  <r>
    <x v="571"/>
    <n v="73"/>
    <x v="0"/>
    <x v="68"/>
    <x v="1"/>
    <x v="1"/>
    <x v="0"/>
    <x v="571"/>
  </r>
  <r>
    <x v="572"/>
    <n v="46"/>
    <x v="2"/>
    <x v="140"/>
    <x v="1"/>
    <x v="1"/>
    <x v="0"/>
    <x v="572"/>
  </r>
  <r>
    <x v="573"/>
    <n v="5"/>
    <x v="1"/>
    <x v="65"/>
    <x v="0"/>
    <x v="1"/>
    <x v="0"/>
    <x v="573"/>
  </r>
  <r>
    <x v="574"/>
    <n v="72"/>
    <x v="1"/>
    <x v="69"/>
    <x v="0"/>
    <x v="0"/>
    <x v="0"/>
    <x v="574"/>
  </r>
  <r>
    <x v="575"/>
    <n v="99"/>
    <x v="0"/>
    <x v="81"/>
    <x v="2"/>
    <x v="1"/>
    <x v="1"/>
    <x v="575"/>
  </r>
  <r>
    <x v="576"/>
    <n v="1"/>
    <x v="1"/>
    <x v="172"/>
    <x v="2"/>
    <x v="1"/>
    <x v="0"/>
    <x v="576"/>
  </r>
  <r>
    <x v="577"/>
    <n v="26"/>
    <x v="0"/>
    <x v="82"/>
    <x v="0"/>
    <x v="0"/>
    <x v="0"/>
    <x v="577"/>
  </r>
  <r>
    <x v="578"/>
    <n v="100"/>
    <x v="0"/>
    <x v="159"/>
    <x v="1"/>
    <x v="0"/>
    <x v="2"/>
    <x v="578"/>
  </r>
  <r>
    <x v="579"/>
    <n v="15"/>
    <x v="0"/>
    <x v="166"/>
    <x v="1"/>
    <x v="2"/>
    <x v="0"/>
    <x v="579"/>
  </r>
  <r>
    <x v="580"/>
    <n v="9"/>
    <x v="1"/>
    <x v="11"/>
    <x v="1"/>
    <x v="2"/>
    <x v="2"/>
    <x v="580"/>
  </r>
  <r>
    <x v="581"/>
    <n v="80"/>
    <x v="2"/>
    <x v="32"/>
    <x v="0"/>
    <x v="2"/>
    <x v="1"/>
    <x v="581"/>
  </r>
  <r>
    <x v="582"/>
    <n v="86"/>
    <x v="0"/>
    <x v="55"/>
    <x v="1"/>
    <x v="2"/>
    <x v="1"/>
    <x v="582"/>
  </r>
  <r>
    <x v="583"/>
    <n v="42"/>
    <x v="0"/>
    <x v="55"/>
    <x v="0"/>
    <x v="0"/>
    <x v="0"/>
    <x v="583"/>
  </r>
  <r>
    <x v="584"/>
    <n v="19"/>
    <x v="0"/>
    <x v="178"/>
    <x v="2"/>
    <x v="1"/>
    <x v="1"/>
    <x v="584"/>
  </r>
  <r>
    <x v="585"/>
    <n v="97"/>
    <x v="2"/>
    <x v="35"/>
    <x v="2"/>
    <x v="1"/>
    <x v="1"/>
    <x v="585"/>
  </r>
  <r>
    <x v="586"/>
    <n v="68"/>
    <x v="0"/>
    <x v="89"/>
    <x v="2"/>
    <x v="2"/>
    <x v="2"/>
    <x v="586"/>
  </r>
  <r>
    <x v="587"/>
    <n v="40"/>
    <x v="0"/>
    <x v="167"/>
    <x v="2"/>
    <x v="2"/>
    <x v="0"/>
    <x v="587"/>
  </r>
  <r>
    <x v="588"/>
    <n v="8"/>
    <x v="0"/>
    <x v="114"/>
    <x v="1"/>
    <x v="2"/>
    <x v="0"/>
    <x v="588"/>
  </r>
  <r>
    <x v="589"/>
    <n v="90"/>
    <x v="0"/>
    <x v="68"/>
    <x v="0"/>
    <x v="0"/>
    <x v="2"/>
    <x v="589"/>
  </r>
  <r>
    <x v="590"/>
    <n v="90"/>
    <x v="1"/>
    <x v="66"/>
    <x v="2"/>
    <x v="2"/>
    <x v="2"/>
    <x v="590"/>
  </r>
  <r>
    <x v="591"/>
    <n v="7"/>
    <x v="0"/>
    <x v="178"/>
    <x v="1"/>
    <x v="0"/>
    <x v="1"/>
    <x v="591"/>
  </r>
  <r>
    <x v="592"/>
    <n v="73"/>
    <x v="1"/>
    <x v="124"/>
    <x v="2"/>
    <x v="2"/>
    <x v="0"/>
    <x v="592"/>
  </r>
  <r>
    <x v="593"/>
    <n v="96"/>
    <x v="2"/>
    <x v="64"/>
    <x v="2"/>
    <x v="2"/>
    <x v="1"/>
    <x v="593"/>
  </r>
  <r>
    <x v="594"/>
    <n v="60"/>
    <x v="2"/>
    <x v="115"/>
    <x v="2"/>
    <x v="2"/>
    <x v="1"/>
    <x v="594"/>
  </r>
  <r>
    <x v="595"/>
    <n v="74"/>
    <x v="0"/>
    <x v="170"/>
    <x v="1"/>
    <x v="2"/>
    <x v="1"/>
    <x v="595"/>
  </r>
  <r>
    <x v="596"/>
    <n v="26"/>
    <x v="2"/>
    <x v="91"/>
    <x v="1"/>
    <x v="1"/>
    <x v="1"/>
    <x v="596"/>
  </r>
  <r>
    <x v="597"/>
    <n v="50"/>
    <x v="1"/>
    <x v="32"/>
    <x v="0"/>
    <x v="1"/>
    <x v="1"/>
    <x v="597"/>
  </r>
  <r>
    <x v="598"/>
    <n v="36"/>
    <x v="1"/>
    <x v="104"/>
    <x v="1"/>
    <x v="1"/>
    <x v="2"/>
    <x v="598"/>
  </r>
  <r>
    <x v="599"/>
    <n v="46"/>
    <x v="2"/>
    <x v="172"/>
    <x v="0"/>
    <x v="1"/>
    <x v="2"/>
    <x v="599"/>
  </r>
  <r>
    <x v="600"/>
    <n v="46"/>
    <x v="0"/>
    <x v="39"/>
    <x v="1"/>
    <x v="2"/>
    <x v="0"/>
    <x v="600"/>
  </r>
  <r>
    <x v="601"/>
    <n v="74"/>
    <x v="2"/>
    <x v="171"/>
    <x v="2"/>
    <x v="2"/>
    <x v="0"/>
    <x v="601"/>
  </r>
  <r>
    <x v="602"/>
    <n v="45"/>
    <x v="0"/>
    <x v="113"/>
    <x v="2"/>
    <x v="2"/>
    <x v="2"/>
    <x v="602"/>
  </r>
  <r>
    <x v="603"/>
    <n v="100"/>
    <x v="1"/>
    <x v="92"/>
    <x v="2"/>
    <x v="1"/>
    <x v="0"/>
    <x v="603"/>
  </r>
  <r>
    <x v="604"/>
    <n v="63"/>
    <x v="1"/>
    <x v="38"/>
    <x v="2"/>
    <x v="2"/>
    <x v="1"/>
    <x v="604"/>
  </r>
  <r>
    <x v="605"/>
    <n v="63"/>
    <x v="0"/>
    <x v="151"/>
    <x v="2"/>
    <x v="0"/>
    <x v="2"/>
    <x v="605"/>
  </r>
  <r>
    <x v="606"/>
    <n v="75"/>
    <x v="2"/>
    <x v="147"/>
    <x v="0"/>
    <x v="0"/>
    <x v="0"/>
    <x v="606"/>
  </r>
  <r>
    <x v="607"/>
    <n v="5"/>
    <x v="2"/>
    <x v="92"/>
    <x v="2"/>
    <x v="0"/>
    <x v="1"/>
    <x v="607"/>
  </r>
  <r>
    <x v="608"/>
    <n v="5"/>
    <x v="0"/>
    <x v="19"/>
    <x v="1"/>
    <x v="1"/>
    <x v="0"/>
    <x v="608"/>
  </r>
  <r>
    <x v="609"/>
    <n v="81"/>
    <x v="2"/>
    <x v="165"/>
    <x v="1"/>
    <x v="0"/>
    <x v="2"/>
    <x v="609"/>
  </r>
  <r>
    <x v="610"/>
    <n v="80"/>
    <x v="1"/>
    <x v="14"/>
    <x v="1"/>
    <x v="0"/>
    <x v="2"/>
    <x v="610"/>
  </r>
  <r>
    <x v="611"/>
    <n v="56"/>
    <x v="0"/>
    <x v="151"/>
    <x v="1"/>
    <x v="0"/>
    <x v="2"/>
    <x v="611"/>
  </r>
  <r>
    <x v="612"/>
    <n v="68"/>
    <x v="0"/>
    <x v="146"/>
    <x v="2"/>
    <x v="2"/>
    <x v="0"/>
    <x v="612"/>
  </r>
  <r>
    <x v="613"/>
    <n v="67"/>
    <x v="2"/>
    <x v="169"/>
    <x v="2"/>
    <x v="1"/>
    <x v="2"/>
    <x v="613"/>
  </r>
  <r>
    <x v="614"/>
    <n v="53"/>
    <x v="2"/>
    <x v="85"/>
    <x v="2"/>
    <x v="2"/>
    <x v="1"/>
    <x v="614"/>
  </r>
  <r>
    <x v="615"/>
    <n v="81"/>
    <x v="1"/>
    <x v="107"/>
    <x v="1"/>
    <x v="1"/>
    <x v="2"/>
    <x v="615"/>
  </r>
  <r>
    <x v="616"/>
    <n v="47"/>
    <x v="1"/>
    <x v="37"/>
    <x v="1"/>
    <x v="2"/>
    <x v="1"/>
    <x v="616"/>
  </r>
  <r>
    <x v="617"/>
    <n v="92"/>
    <x v="1"/>
    <x v="110"/>
    <x v="0"/>
    <x v="0"/>
    <x v="2"/>
    <x v="617"/>
  </r>
  <r>
    <x v="618"/>
    <n v="87"/>
    <x v="1"/>
    <x v="47"/>
    <x v="0"/>
    <x v="2"/>
    <x v="1"/>
    <x v="618"/>
  </r>
  <r>
    <x v="619"/>
    <n v="51"/>
    <x v="2"/>
    <x v="89"/>
    <x v="1"/>
    <x v="1"/>
    <x v="2"/>
    <x v="619"/>
  </r>
  <r>
    <x v="620"/>
    <n v="61"/>
    <x v="0"/>
    <x v="81"/>
    <x v="2"/>
    <x v="1"/>
    <x v="2"/>
    <x v="620"/>
  </r>
  <r>
    <x v="621"/>
    <n v="87"/>
    <x v="0"/>
    <x v="34"/>
    <x v="1"/>
    <x v="0"/>
    <x v="2"/>
    <x v="621"/>
  </r>
  <r>
    <x v="622"/>
    <n v="8"/>
    <x v="2"/>
    <x v="86"/>
    <x v="0"/>
    <x v="2"/>
    <x v="2"/>
    <x v="622"/>
  </r>
  <r>
    <x v="623"/>
    <n v="56"/>
    <x v="2"/>
    <x v="80"/>
    <x v="1"/>
    <x v="1"/>
    <x v="0"/>
    <x v="623"/>
  </r>
  <r>
    <x v="624"/>
    <n v="98"/>
    <x v="1"/>
    <x v="62"/>
    <x v="1"/>
    <x v="1"/>
    <x v="1"/>
    <x v="624"/>
  </r>
  <r>
    <x v="625"/>
    <n v="7"/>
    <x v="0"/>
    <x v="91"/>
    <x v="0"/>
    <x v="0"/>
    <x v="0"/>
    <x v="625"/>
  </r>
  <r>
    <x v="626"/>
    <n v="24"/>
    <x v="0"/>
    <x v="28"/>
    <x v="0"/>
    <x v="0"/>
    <x v="1"/>
    <x v="626"/>
  </r>
  <r>
    <x v="627"/>
    <n v="23"/>
    <x v="0"/>
    <x v="118"/>
    <x v="2"/>
    <x v="2"/>
    <x v="1"/>
    <x v="627"/>
  </r>
  <r>
    <x v="628"/>
    <n v="43"/>
    <x v="1"/>
    <x v="51"/>
    <x v="1"/>
    <x v="1"/>
    <x v="0"/>
    <x v="628"/>
  </r>
  <r>
    <x v="629"/>
    <n v="95"/>
    <x v="1"/>
    <x v="124"/>
    <x v="0"/>
    <x v="2"/>
    <x v="0"/>
    <x v="629"/>
  </r>
  <r>
    <x v="630"/>
    <n v="13"/>
    <x v="2"/>
    <x v="13"/>
    <x v="2"/>
    <x v="0"/>
    <x v="2"/>
    <x v="630"/>
  </r>
  <r>
    <x v="631"/>
    <n v="72"/>
    <x v="0"/>
    <x v="129"/>
    <x v="1"/>
    <x v="0"/>
    <x v="1"/>
    <x v="631"/>
  </r>
  <r>
    <x v="632"/>
    <n v="28"/>
    <x v="1"/>
    <x v="126"/>
    <x v="0"/>
    <x v="0"/>
    <x v="2"/>
    <x v="632"/>
  </r>
  <r>
    <x v="633"/>
    <n v="94"/>
    <x v="1"/>
    <x v="5"/>
    <x v="1"/>
    <x v="0"/>
    <x v="0"/>
    <x v="633"/>
  </r>
  <r>
    <x v="634"/>
    <n v="60"/>
    <x v="0"/>
    <x v="152"/>
    <x v="0"/>
    <x v="0"/>
    <x v="1"/>
    <x v="634"/>
  </r>
  <r>
    <x v="635"/>
    <n v="17"/>
    <x v="1"/>
    <x v="136"/>
    <x v="2"/>
    <x v="2"/>
    <x v="0"/>
    <x v="635"/>
  </r>
  <r>
    <x v="636"/>
    <n v="21"/>
    <x v="1"/>
    <x v="106"/>
    <x v="0"/>
    <x v="1"/>
    <x v="1"/>
    <x v="636"/>
  </r>
  <r>
    <x v="637"/>
    <n v="89"/>
    <x v="2"/>
    <x v="158"/>
    <x v="0"/>
    <x v="2"/>
    <x v="1"/>
    <x v="637"/>
  </r>
  <r>
    <x v="638"/>
    <n v="43"/>
    <x v="2"/>
    <x v="108"/>
    <x v="2"/>
    <x v="2"/>
    <x v="0"/>
    <x v="638"/>
  </r>
  <r>
    <x v="639"/>
    <n v="5"/>
    <x v="2"/>
    <x v="115"/>
    <x v="1"/>
    <x v="0"/>
    <x v="1"/>
    <x v="639"/>
  </r>
  <r>
    <x v="640"/>
    <n v="7"/>
    <x v="1"/>
    <x v="103"/>
    <x v="1"/>
    <x v="2"/>
    <x v="2"/>
    <x v="640"/>
  </r>
  <r>
    <x v="641"/>
    <n v="28"/>
    <x v="0"/>
    <x v="7"/>
    <x v="0"/>
    <x v="1"/>
    <x v="0"/>
    <x v="641"/>
  </r>
  <r>
    <x v="642"/>
    <n v="27"/>
    <x v="2"/>
    <x v="173"/>
    <x v="0"/>
    <x v="0"/>
    <x v="0"/>
    <x v="642"/>
  </r>
  <r>
    <x v="643"/>
    <n v="58"/>
    <x v="2"/>
    <x v="32"/>
    <x v="1"/>
    <x v="0"/>
    <x v="1"/>
    <x v="643"/>
  </r>
  <r>
    <x v="644"/>
    <n v="33"/>
    <x v="1"/>
    <x v="98"/>
    <x v="0"/>
    <x v="1"/>
    <x v="1"/>
    <x v="644"/>
  </r>
  <r>
    <x v="645"/>
    <n v="20"/>
    <x v="0"/>
    <x v="64"/>
    <x v="2"/>
    <x v="2"/>
    <x v="0"/>
    <x v="645"/>
  </r>
  <r>
    <x v="646"/>
    <n v="11"/>
    <x v="2"/>
    <x v="13"/>
    <x v="0"/>
    <x v="2"/>
    <x v="1"/>
    <x v="646"/>
  </r>
  <r>
    <x v="647"/>
    <n v="31"/>
    <x v="2"/>
    <x v="80"/>
    <x v="0"/>
    <x v="1"/>
    <x v="0"/>
    <x v="647"/>
  </r>
  <r>
    <x v="648"/>
    <n v="76"/>
    <x v="2"/>
    <x v="50"/>
    <x v="1"/>
    <x v="2"/>
    <x v="0"/>
    <x v="648"/>
  </r>
  <r>
    <x v="649"/>
    <n v="32"/>
    <x v="2"/>
    <x v="16"/>
    <x v="1"/>
    <x v="2"/>
    <x v="2"/>
    <x v="649"/>
  </r>
  <r>
    <x v="650"/>
    <n v="34"/>
    <x v="0"/>
    <x v="66"/>
    <x v="1"/>
    <x v="0"/>
    <x v="2"/>
    <x v="650"/>
  </r>
  <r>
    <x v="651"/>
    <n v="66"/>
    <x v="2"/>
    <x v="91"/>
    <x v="0"/>
    <x v="1"/>
    <x v="2"/>
    <x v="651"/>
  </r>
  <r>
    <x v="652"/>
    <n v="62"/>
    <x v="1"/>
    <x v="110"/>
    <x v="2"/>
    <x v="0"/>
    <x v="1"/>
    <x v="652"/>
  </r>
  <r>
    <x v="653"/>
    <n v="86"/>
    <x v="2"/>
    <x v="29"/>
    <x v="2"/>
    <x v="1"/>
    <x v="1"/>
    <x v="653"/>
  </r>
  <r>
    <x v="654"/>
    <n v="91"/>
    <x v="2"/>
    <x v="168"/>
    <x v="2"/>
    <x v="2"/>
    <x v="1"/>
    <x v="654"/>
  </r>
  <r>
    <x v="655"/>
    <n v="63"/>
    <x v="2"/>
    <x v="115"/>
    <x v="2"/>
    <x v="0"/>
    <x v="0"/>
    <x v="655"/>
  </r>
  <r>
    <x v="656"/>
    <n v="73"/>
    <x v="0"/>
    <x v="57"/>
    <x v="2"/>
    <x v="1"/>
    <x v="2"/>
    <x v="656"/>
  </r>
  <r>
    <x v="657"/>
    <n v="94"/>
    <x v="0"/>
    <x v="82"/>
    <x v="2"/>
    <x v="2"/>
    <x v="0"/>
    <x v="657"/>
  </r>
  <r>
    <x v="658"/>
    <n v="88"/>
    <x v="0"/>
    <x v="45"/>
    <x v="0"/>
    <x v="0"/>
    <x v="0"/>
    <x v="658"/>
  </r>
  <r>
    <x v="659"/>
    <n v="12"/>
    <x v="1"/>
    <x v="3"/>
    <x v="1"/>
    <x v="0"/>
    <x v="0"/>
    <x v="659"/>
  </r>
  <r>
    <x v="660"/>
    <n v="48"/>
    <x v="0"/>
    <x v="58"/>
    <x v="0"/>
    <x v="2"/>
    <x v="0"/>
    <x v="660"/>
  </r>
  <r>
    <x v="661"/>
    <n v="35"/>
    <x v="2"/>
    <x v="173"/>
    <x v="2"/>
    <x v="0"/>
    <x v="2"/>
    <x v="661"/>
  </r>
  <r>
    <x v="662"/>
    <n v="25"/>
    <x v="2"/>
    <x v="24"/>
    <x v="0"/>
    <x v="1"/>
    <x v="1"/>
    <x v="662"/>
  </r>
  <r>
    <x v="663"/>
    <n v="47"/>
    <x v="1"/>
    <x v="7"/>
    <x v="2"/>
    <x v="1"/>
    <x v="0"/>
    <x v="663"/>
  </r>
  <r>
    <x v="664"/>
    <n v="55"/>
    <x v="1"/>
    <x v="73"/>
    <x v="0"/>
    <x v="0"/>
    <x v="2"/>
    <x v="664"/>
  </r>
  <r>
    <x v="665"/>
    <n v="45"/>
    <x v="0"/>
    <x v="41"/>
    <x v="0"/>
    <x v="1"/>
    <x v="0"/>
    <x v="665"/>
  </r>
  <r>
    <x v="666"/>
    <n v="12"/>
    <x v="2"/>
    <x v="111"/>
    <x v="2"/>
    <x v="0"/>
    <x v="0"/>
    <x v="666"/>
  </r>
  <r>
    <x v="667"/>
    <n v="33"/>
    <x v="0"/>
    <x v="167"/>
    <x v="2"/>
    <x v="1"/>
    <x v="1"/>
    <x v="667"/>
  </r>
  <r>
    <x v="668"/>
    <n v="3"/>
    <x v="1"/>
    <x v="156"/>
    <x v="2"/>
    <x v="2"/>
    <x v="2"/>
    <x v="668"/>
  </r>
  <r>
    <x v="669"/>
    <n v="15"/>
    <x v="0"/>
    <x v="21"/>
    <x v="0"/>
    <x v="1"/>
    <x v="0"/>
    <x v="669"/>
  </r>
  <r>
    <x v="670"/>
    <n v="45"/>
    <x v="0"/>
    <x v="172"/>
    <x v="0"/>
    <x v="2"/>
    <x v="2"/>
    <x v="670"/>
  </r>
  <r>
    <x v="671"/>
    <n v="16"/>
    <x v="1"/>
    <x v="44"/>
    <x v="1"/>
    <x v="2"/>
    <x v="1"/>
    <x v="671"/>
  </r>
  <r>
    <x v="672"/>
    <n v="63"/>
    <x v="1"/>
    <x v="67"/>
    <x v="1"/>
    <x v="0"/>
    <x v="0"/>
    <x v="672"/>
  </r>
  <r>
    <x v="673"/>
    <n v="63"/>
    <x v="0"/>
    <x v="34"/>
    <x v="2"/>
    <x v="2"/>
    <x v="0"/>
    <x v="673"/>
  </r>
  <r>
    <x v="674"/>
    <n v="96"/>
    <x v="2"/>
    <x v="165"/>
    <x v="2"/>
    <x v="1"/>
    <x v="0"/>
    <x v="674"/>
  </r>
  <r>
    <x v="675"/>
    <n v="4"/>
    <x v="2"/>
    <x v="86"/>
    <x v="1"/>
    <x v="1"/>
    <x v="0"/>
    <x v="675"/>
  </r>
  <r>
    <x v="676"/>
    <n v="2"/>
    <x v="0"/>
    <x v="118"/>
    <x v="0"/>
    <x v="1"/>
    <x v="0"/>
    <x v="634"/>
  </r>
  <r>
    <x v="677"/>
    <n v="19"/>
    <x v="1"/>
    <x v="88"/>
    <x v="0"/>
    <x v="1"/>
    <x v="2"/>
    <x v="676"/>
  </r>
  <r>
    <x v="678"/>
    <n v="61"/>
    <x v="0"/>
    <x v="142"/>
    <x v="1"/>
    <x v="1"/>
    <x v="0"/>
    <x v="677"/>
  </r>
  <r>
    <x v="679"/>
    <n v="5"/>
    <x v="0"/>
    <x v="45"/>
    <x v="0"/>
    <x v="2"/>
    <x v="0"/>
    <x v="678"/>
  </r>
  <r>
    <x v="680"/>
    <n v="8"/>
    <x v="0"/>
    <x v="94"/>
    <x v="1"/>
    <x v="1"/>
    <x v="0"/>
    <x v="679"/>
  </r>
  <r>
    <x v="681"/>
    <n v="6"/>
    <x v="0"/>
    <x v="24"/>
    <x v="0"/>
    <x v="2"/>
    <x v="2"/>
    <x v="680"/>
  </r>
  <r>
    <x v="682"/>
    <n v="18"/>
    <x v="2"/>
    <x v="10"/>
    <x v="0"/>
    <x v="0"/>
    <x v="0"/>
    <x v="681"/>
  </r>
  <r>
    <x v="683"/>
    <n v="33"/>
    <x v="0"/>
    <x v="168"/>
    <x v="0"/>
    <x v="2"/>
    <x v="2"/>
    <x v="682"/>
  </r>
  <r>
    <x v="684"/>
    <n v="40"/>
    <x v="0"/>
    <x v="62"/>
    <x v="2"/>
    <x v="1"/>
    <x v="0"/>
    <x v="683"/>
  </r>
  <r>
    <x v="685"/>
    <n v="35"/>
    <x v="2"/>
    <x v="142"/>
    <x v="1"/>
    <x v="1"/>
    <x v="1"/>
    <x v="684"/>
  </r>
  <r>
    <x v="686"/>
    <n v="99"/>
    <x v="1"/>
    <x v="168"/>
    <x v="0"/>
    <x v="0"/>
    <x v="0"/>
    <x v="685"/>
  </r>
  <r>
    <x v="687"/>
    <n v="65"/>
    <x v="0"/>
    <x v="47"/>
    <x v="2"/>
    <x v="0"/>
    <x v="2"/>
    <x v="686"/>
  </r>
  <r>
    <x v="688"/>
    <n v="56"/>
    <x v="2"/>
    <x v="107"/>
    <x v="2"/>
    <x v="1"/>
    <x v="2"/>
    <x v="687"/>
  </r>
  <r>
    <x v="689"/>
    <n v="96"/>
    <x v="2"/>
    <x v="138"/>
    <x v="0"/>
    <x v="0"/>
    <x v="1"/>
    <x v="688"/>
  </r>
  <r>
    <x v="690"/>
    <n v="4"/>
    <x v="1"/>
    <x v="76"/>
    <x v="1"/>
    <x v="1"/>
    <x v="2"/>
    <x v="689"/>
  </r>
  <r>
    <x v="691"/>
    <n v="67"/>
    <x v="2"/>
    <x v="47"/>
    <x v="0"/>
    <x v="1"/>
    <x v="1"/>
    <x v="690"/>
  </r>
  <r>
    <x v="692"/>
    <n v="95"/>
    <x v="0"/>
    <x v="43"/>
    <x v="0"/>
    <x v="0"/>
    <x v="2"/>
    <x v="691"/>
  </r>
  <r>
    <x v="693"/>
    <n v="18"/>
    <x v="2"/>
    <x v="179"/>
    <x v="2"/>
    <x v="1"/>
    <x v="2"/>
    <x v="692"/>
  </r>
  <r>
    <x v="694"/>
    <n v="97"/>
    <x v="2"/>
    <x v="104"/>
    <x v="0"/>
    <x v="2"/>
    <x v="0"/>
    <x v="693"/>
  </r>
  <r>
    <x v="695"/>
    <n v="84"/>
    <x v="1"/>
    <x v="34"/>
    <x v="0"/>
    <x v="2"/>
    <x v="0"/>
    <x v="694"/>
  </r>
  <r>
    <x v="696"/>
    <n v="51"/>
    <x v="2"/>
    <x v="60"/>
    <x v="2"/>
    <x v="1"/>
    <x v="2"/>
    <x v="695"/>
  </r>
  <r>
    <x v="697"/>
    <n v="34"/>
    <x v="2"/>
    <x v="27"/>
    <x v="0"/>
    <x v="2"/>
    <x v="0"/>
    <x v="696"/>
  </r>
  <r>
    <x v="698"/>
    <n v="1"/>
    <x v="2"/>
    <x v="30"/>
    <x v="0"/>
    <x v="1"/>
    <x v="1"/>
    <x v="697"/>
  </r>
  <r>
    <x v="699"/>
    <n v="41"/>
    <x v="2"/>
    <x v="145"/>
    <x v="2"/>
    <x v="0"/>
    <x v="2"/>
    <x v="698"/>
  </r>
  <r>
    <x v="700"/>
    <n v="67"/>
    <x v="1"/>
    <x v="132"/>
    <x v="0"/>
    <x v="0"/>
    <x v="2"/>
    <x v="699"/>
  </r>
  <r>
    <x v="701"/>
    <n v="43"/>
    <x v="2"/>
    <x v="104"/>
    <x v="0"/>
    <x v="0"/>
    <x v="0"/>
    <x v="700"/>
  </r>
  <r>
    <x v="702"/>
    <n v="34"/>
    <x v="0"/>
    <x v="120"/>
    <x v="1"/>
    <x v="0"/>
    <x v="1"/>
    <x v="701"/>
  </r>
  <r>
    <x v="703"/>
    <n v="7"/>
    <x v="0"/>
    <x v="72"/>
    <x v="1"/>
    <x v="1"/>
    <x v="0"/>
    <x v="702"/>
  </r>
  <r>
    <x v="704"/>
    <n v="54"/>
    <x v="1"/>
    <x v="89"/>
    <x v="1"/>
    <x v="2"/>
    <x v="1"/>
    <x v="703"/>
  </r>
  <r>
    <x v="705"/>
    <n v="37"/>
    <x v="1"/>
    <x v="52"/>
    <x v="0"/>
    <x v="2"/>
    <x v="0"/>
    <x v="704"/>
  </r>
  <r>
    <x v="706"/>
    <n v="86"/>
    <x v="1"/>
    <x v="59"/>
    <x v="2"/>
    <x v="1"/>
    <x v="1"/>
    <x v="705"/>
  </r>
  <r>
    <x v="707"/>
    <n v="22"/>
    <x v="1"/>
    <x v="135"/>
    <x v="0"/>
    <x v="0"/>
    <x v="2"/>
    <x v="706"/>
  </r>
  <r>
    <x v="708"/>
    <n v="79"/>
    <x v="1"/>
    <x v="46"/>
    <x v="0"/>
    <x v="0"/>
    <x v="1"/>
    <x v="707"/>
  </r>
  <r>
    <x v="709"/>
    <n v="4"/>
    <x v="2"/>
    <x v="43"/>
    <x v="2"/>
    <x v="2"/>
    <x v="0"/>
    <x v="708"/>
  </r>
  <r>
    <x v="710"/>
    <n v="36"/>
    <x v="2"/>
    <x v="116"/>
    <x v="1"/>
    <x v="0"/>
    <x v="2"/>
    <x v="709"/>
  </r>
  <r>
    <x v="711"/>
    <n v="74"/>
    <x v="0"/>
    <x v="132"/>
    <x v="2"/>
    <x v="0"/>
    <x v="0"/>
    <x v="710"/>
  </r>
  <r>
    <x v="712"/>
    <n v="36"/>
    <x v="0"/>
    <x v="110"/>
    <x v="1"/>
    <x v="1"/>
    <x v="1"/>
    <x v="711"/>
  </r>
  <r>
    <x v="713"/>
    <n v="66"/>
    <x v="2"/>
    <x v="31"/>
    <x v="0"/>
    <x v="0"/>
    <x v="0"/>
    <x v="712"/>
  </r>
  <r>
    <x v="714"/>
    <n v="27"/>
    <x v="1"/>
    <x v="172"/>
    <x v="2"/>
    <x v="2"/>
    <x v="2"/>
    <x v="713"/>
  </r>
  <r>
    <x v="715"/>
    <n v="86"/>
    <x v="0"/>
    <x v="95"/>
    <x v="2"/>
    <x v="0"/>
    <x v="0"/>
    <x v="714"/>
  </r>
  <r>
    <x v="716"/>
    <n v="84"/>
    <x v="2"/>
    <x v="180"/>
    <x v="1"/>
    <x v="0"/>
    <x v="2"/>
    <x v="715"/>
  </r>
  <r>
    <x v="717"/>
    <n v="33"/>
    <x v="2"/>
    <x v="35"/>
    <x v="1"/>
    <x v="0"/>
    <x v="1"/>
    <x v="716"/>
  </r>
  <r>
    <x v="718"/>
    <n v="18"/>
    <x v="2"/>
    <x v="30"/>
    <x v="1"/>
    <x v="0"/>
    <x v="2"/>
    <x v="717"/>
  </r>
  <r>
    <x v="719"/>
    <n v="77"/>
    <x v="1"/>
    <x v="72"/>
    <x v="1"/>
    <x v="2"/>
    <x v="2"/>
    <x v="718"/>
  </r>
  <r>
    <x v="720"/>
    <n v="44"/>
    <x v="2"/>
    <x v="1"/>
    <x v="0"/>
    <x v="2"/>
    <x v="2"/>
    <x v="719"/>
  </r>
  <r>
    <x v="721"/>
    <n v="76"/>
    <x v="0"/>
    <x v="46"/>
    <x v="1"/>
    <x v="0"/>
    <x v="2"/>
    <x v="720"/>
  </r>
  <r>
    <x v="722"/>
    <n v="25"/>
    <x v="0"/>
    <x v="99"/>
    <x v="1"/>
    <x v="1"/>
    <x v="0"/>
    <x v="721"/>
  </r>
  <r>
    <x v="723"/>
    <n v="58"/>
    <x v="0"/>
    <x v="90"/>
    <x v="2"/>
    <x v="2"/>
    <x v="2"/>
    <x v="722"/>
  </r>
  <r>
    <x v="724"/>
    <n v="15"/>
    <x v="2"/>
    <x v="57"/>
    <x v="2"/>
    <x v="0"/>
    <x v="0"/>
    <x v="723"/>
  </r>
  <r>
    <x v="725"/>
    <n v="24"/>
    <x v="2"/>
    <x v="10"/>
    <x v="2"/>
    <x v="1"/>
    <x v="1"/>
    <x v="724"/>
  </r>
  <r>
    <x v="726"/>
    <n v="92"/>
    <x v="1"/>
    <x v="79"/>
    <x v="2"/>
    <x v="0"/>
    <x v="1"/>
    <x v="725"/>
  </r>
  <r>
    <x v="727"/>
    <n v="5"/>
    <x v="0"/>
    <x v="156"/>
    <x v="0"/>
    <x v="1"/>
    <x v="2"/>
    <x v="726"/>
  </r>
  <r>
    <x v="728"/>
    <n v="74"/>
    <x v="0"/>
    <x v="161"/>
    <x v="0"/>
    <x v="2"/>
    <x v="2"/>
    <x v="727"/>
  </r>
  <r>
    <x v="729"/>
    <n v="31"/>
    <x v="0"/>
    <x v="130"/>
    <x v="2"/>
    <x v="0"/>
    <x v="1"/>
    <x v="728"/>
  </r>
  <r>
    <x v="730"/>
    <n v="37"/>
    <x v="2"/>
    <x v="147"/>
    <x v="0"/>
    <x v="2"/>
    <x v="2"/>
    <x v="729"/>
  </r>
  <r>
    <x v="731"/>
    <n v="44"/>
    <x v="0"/>
    <x v="90"/>
    <x v="1"/>
    <x v="0"/>
    <x v="1"/>
    <x v="730"/>
  </r>
  <r>
    <x v="732"/>
    <n v="28"/>
    <x v="1"/>
    <x v="58"/>
    <x v="2"/>
    <x v="2"/>
    <x v="2"/>
    <x v="731"/>
  </r>
  <r>
    <x v="733"/>
    <n v="85"/>
    <x v="1"/>
    <x v="179"/>
    <x v="2"/>
    <x v="2"/>
    <x v="1"/>
    <x v="732"/>
  </r>
  <r>
    <x v="734"/>
    <n v="60"/>
    <x v="0"/>
    <x v="123"/>
    <x v="2"/>
    <x v="1"/>
    <x v="2"/>
    <x v="733"/>
  </r>
  <r>
    <x v="735"/>
    <n v="63"/>
    <x v="1"/>
    <x v="65"/>
    <x v="0"/>
    <x v="0"/>
    <x v="1"/>
    <x v="734"/>
  </r>
  <r>
    <x v="736"/>
    <n v="46"/>
    <x v="0"/>
    <x v="117"/>
    <x v="0"/>
    <x v="2"/>
    <x v="0"/>
    <x v="735"/>
  </r>
  <r>
    <x v="737"/>
    <n v="81"/>
    <x v="0"/>
    <x v="129"/>
    <x v="1"/>
    <x v="0"/>
    <x v="2"/>
    <x v="736"/>
  </r>
  <r>
    <x v="738"/>
    <n v="98"/>
    <x v="2"/>
    <x v="83"/>
    <x v="0"/>
    <x v="2"/>
    <x v="2"/>
    <x v="737"/>
  </r>
  <r>
    <x v="739"/>
    <n v="79"/>
    <x v="1"/>
    <x v="87"/>
    <x v="1"/>
    <x v="2"/>
    <x v="2"/>
    <x v="738"/>
  </r>
  <r>
    <x v="740"/>
    <n v="91"/>
    <x v="2"/>
    <x v="86"/>
    <x v="1"/>
    <x v="0"/>
    <x v="0"/>
    <x v="739"/>
  </r>
  <r>
    <x v="741"/>
    <n v="51"/>
    <x v="2"/>
    <x v="34"/>
    <x v="1"/>
    <x v="1"/>
    <x v="1"/>
    <x v="740"/>
  </r>
  <r>
    <x v="742"/>
    <n v="27"/>
    <x v="2"/>
    <x v="100"/>
    <x v="1"/>
    <x v="0"/>
    <x v="2"/>
    <x v="741"/>
  </r>
  <r>
    <x v="743"/>
    <n v="30"/>
    <x v="2"/>
    <x v="174"/>
    <x v="0"/>
    <x v="0"/>
    <x v="2"/>
    <x v="742"/>
  </r>
  <r>
    <x v="744"/>
    <n v="97"/>
    <x v="2"/>
    <x v="12"/>
    <x v="1"/>
    <x v="2"/>
    <x v="0"/>
    <x v="743"/>
  </r>
  <r>
    <x v="745"/>
    <n v="93"/>
    <x v="0"/>
    <x v="66"/>
    <x v="0"/>
    <x v="0"/>
    <x v="2"/>
    <x v="744"/>
  </r>
  <r>
    <x v="746"/>
    <n v="52"/>
    <x v="2"/>
    <x v="114"/>
    <x v="2"/>
    <x v="0"/>
    <x v="0"/>
    <x v="745"/>
  </r>
  <r>
    <x v="747"/>
    <n v="41"/>
    <x v="2"/>
    <x v="40"/>
    <x v="1"/>
    <x v="2"/>
    <x v="2"/>
    <x v="746"/>
  </r>
  <r>
    <x v="748"/>
    <n v="64"/>
    <x v="1"/>
    <x v="173"/>
    <x v="0"/>
    <x v="0"/>
    <x v="0"/>
    <x v="747"/>
  </r>
  <r>
    <x v="749"/>
    <n v="9"/>
    <x v="1"/>
    <x v="37"/>
    <x v="2"/>
    <x v="2"/>
    <x v="2"/>
    <x v="748"/>
  </r>
  <r>
    <x v="750"/>
    <n v="42"/>
    <x v="1"/>
    <x v="64"/>
    <x v="0"/>
    <x v="0"/>
    <x v="2"/>
    <x v="749"/>
  </r>
  <r>
    <x v="751"/>
    <n v="81"/>
    <x v="1"/>
    <x v="165"/>
    <x v="2"/>
    <x v="2"/>
    <x v="1"/>
    <x v="750"/>
  </r>
  <r>
    <x v="752"/>
    <n v="83"/>
    <x v="2"/>
    <x v="146"/>
    <x v="2"/>
    <x v="1"/>
    <x v="0"/>
    <x v="751"/>
  </r>
  <r>
    <x v="753"/>
    <n v="17"/>
    <x v="0"/>
    <x v="24"/>
    <x v="0"/>
    <x v="0"/>
    <x v="2"/>
    <x v="752"/>
  </r>
  <r>
    <x v="754"/>
    <n v="90"/>
    <x v="2"/>
    <x v="180"/>
    <x v="0"/>
    <x v="1"/>
    <x v="2"/>
    <x v="753"/>
  </r>
  <r>
    <x v="755"/>
    <n v="77"/>
    <x v="1"/>
    <x v="144"/>
    <x v="0"/>
    <x v="0"/>
    <x v="2"/>
    <x v="754"/>
  </r>
  <r>
    <x v="756"/>
    <n v="40"/>
    <x v="1"/>
    <x v="127"/>
    <x v="2"/>
    <x v="2"/>
    <x v="2"/>
    <x v="755"/>
  </r>
  <r>
    <x v="757"/>
    <n v="12"/>
    <x v="2"/>
    <x v="25"/>
    <x v="1"/>
    <x v="2"/>
    <x v="1"/>
    <x v="756"/>
  </r>
  <r>
    <x v="758"/>
    <n v="40"/>
    <x v="2"/>
    <x v="37"/>
    <x v="2"/>
    <x v="2"/>
    <x v="2"/>
    <x v="757"/>
  </r>
  <r>
    <x v="759"/>
    <n v="31"/>
    <x v="0"/>
    <x v="112"/>
    <x v="2"/>
    <x v="1"/>
    <x v="2"/>
    <x v="758"/>
  </r>
  <r>
    <x v="760"/>
    <n v="67"/>
    <x v="1"/>
    <x v="134"/>
    <x v="0"/>
    <x v="1"/>
    <x v="1"/>
    <x v="759"/>
  </r>
  <r>
    <x v="761"/>
    <n v="27"/>
    <x v="2"/>
    <x v="2"/>
    <x v="1"/>
    <x v="1"/>
    <x v="2"/>
    <x v="760"/>
  </r>
  <r>
    <x v="762"/>
    <n v="44"/>
    <x v="2"/>
    <x v="39"/>
    <x v="0"/>
    <x v="0"/>
    <x v="1"/>
    <x v="761"/>
  </r>
  <r>
    <x v="763"/>
    <n v="40"/>
    <x v="0"/>
    <x v="1"/>
    <x v="1"/>
    <x v="0"/>
    <x v="0"/>
    <x v="762"/>
  </r>
  <r>
    <x v="764"/>
    <n v="70"/>
    <x v="0"/>
    <x v="1"/>
    <x v="0"/>
    <x v="0"/>
    <x v="0"/>
    <x v="763"/>
  </r>
  <r>
    <x v="765"/>
    <n v="49"/>
    <x v="2"/>
    <x v="86"/>
    <x v="0"/>
    <x v="2"/>
    <x v="0"/>
    <x v="764"/>
  </r>
  <r>
    <x v="766"/>
    <n v="81"/>
    <x v="0"/>
    <x v="37"/>
    <x v="0"/>
    <x v="0"/>
    <x v="1"/>
    <x v="765"/>
  </r>
  <r>
    <x v="767"/>
    <n v="48"/>
    <x v="2"/>
    <x v="80"/>
    <x v="1"/>
    <x v="2"/>
    <x v="0"/>
    <x v="766"/>
  </r>
  <r>
    <x v="768"/>
    <n v="83"/>
    <x v="0"/>
    <x v="43"/>
    <x v="0"/>
    <x v="0"/>
    <x v="0"/>
    <x v="767"/>
  </r>
  <r>
    <x v="769"/>
    <n v="56"/>
    <x v="0"/>
    <x v="39"/>
    <x v="2"/>
    <x v="2"/>
    <x v="0"/>
    <x v="768"/>
  </r>
  <r>
    <x v="770"/>
    <n v="97"/>
    <x v="0"/>
    <x v="24"/>
    <x v="1"/>
    <x v="1"/>
    <x v="2"/>
    <x v="769"/>
  </r>
  <r>
    <x v="771"/>
    <n v="1"/>
    <x v="2"/>
    <x v="48"/>
    <x v="2"/>
    <x v="1"/>
    <x v="2"/>
    <x v="770"/>
  </r>
  <r>
    <x v="772"/>
    <n v="57"/>
    <x v="1"/>
    <x v="132"/>
    <x v="0"/>
    <x v="0"/>
    <x v="1"/>
    <x v="771"/>
  </r>
  <r>
    <x v="773"/>
    <n v="35"/>
    <x v="0"/>
    <x v="127"/>
    <x v="2"/>
    <x v="1"/>
    <x v="2"/>
    <x v="772"/>
  </r>
  <r>
    <x v="774"/>
    <n v="22"/>
    <x v="2"/>
    <x v="73"/>
    <x v="2"/>
    <x v="0"/>
    <x v="0"/>
    <x v="132"/>
  </r>
  <r>
    <x v="775"/>
    <n v="37"/>
    <x v="0"/>
    <x v="133"/>
    <x v="2"/>
    <x v="0"/>
    <x v="1"/>
    <x v="773"/>
  </r>
  <r>
    <x v="776"/>
    <n v="59"/>
    <x v="1"/>
    <x v="76"/>
    <x v="0"/>
    <x v="2"/>
    <x v="0"/>
    <x v="774"/>
  </r>
  <r>
    <x v="777"/>
    <n v="31"/>
    <x v="1"/>
    <x v="94"/>
    <x v="0"/>
    <x v="1"/>
    <x v="2"/>
    <x v="775"/>
  </r>
  <r>
    <x v="778"/>
    <n v="71"/>
    <x v="0"/>
    <x v="125"/>
    <x v="1"/>
    <x v="1"/>
    <x v="2"/>
    <x v="776"/>
  </r>
  <r>
    <x v="779"/>
    <n v="81"/>
    <x v="1"/>
    <x v="136"/>
    <x v="2"/>
    <x v="0"/>
    <x v="2"/>
    <x v="777"/>
  </r>
  <r>
    <x v="780"/>
    <n v="10"/>
    <x v="2"/>
    <x v="147"/>
    <x v="0"/>
    <x v="0"/>
    <x v="2"/>
    <x v="778"/>
  </r>
  <r>
    <x v="781"/>
    <n v="92"/>
    <x v="1"/>
    <x v="30"/>
    <x v="1"/>
    <x v="2"/>
    <x v="0"/>
    <x v="779"/>
  </r>
  <r>
    <x v="782"/>
    <n v="73"/>
    <x v="2"/>
    <x v="135"/>
    <x v="1"/>
    <x v="2"/>
    <x v="1"/>
    <x v="780"/>
  </r>
  <r>
    <x v="783"/>
    <n v="2"/>
    <x v="1"/>
    <x v="132"/>
    <x v="2"/>
    <x v="2"/>
    <x v="1"/>
    <x v="781"/>
  </r>
  <r>
    <x v="784"/>
    <n v="63"/>
    <x v="2"/>
    <x v="158"/>
    <x v="2"/>
    <x v="2"/>
    <x v="0"/>
    <x v="782"/>
  </r>
  <r>
    <x v="785"/>
    <n v="54"/>
    <x v="2"/>
    <x v="62"/>
    <x v="2"/>
    <x v="0"/>
    <x v="1"/>
    <x v="783"/>
  </r>
  <r>
    <x v="786"/>
    <n v="36"/>
    <x v="1"/>
    <x v="142"/>
    <x v="2"/>
    <x v="0"/>
    <x v="2"/>
    <x v="784"/>
  </r>
  <r>
    <x v="787"/>
    <n v="41"/>
    <x v="0"/>
    <x v="75"/>
    <x v="0"/>
    <x v="1"/>
    <x v="1"/>
    <x v="785"/>
  </r>
  <r>
    <x v="788"/>
    <n v="54"/>
    <x v="0"/>
    <x v="65"/>
    <x v="2"/>
    <x v="0"/>
    <x v="1"/>
    <x v="786"/>
  </r>
  <r>
    <x v="789"/>
    <n v="3"/>
    <x v="0"/>
    <x v="46"/>
    <x v="1"/>
    <x v="1"/>
    <x v="2"/>
    <x v="787"/>
  </r>
  <r>
    <x v="790"/>
    <n v="94"/>
    <x v="1"/>
    <x v="148"/>
    <x v="2"/>
    <x v="0"/>
    <x v="1"/>
    <x v="788"/>
  </r>
  <r>
    <x v="791"/>
    <n v="99"/>
    <x v="1"/>
    <x v="54"/>
    <x v="1"/>
    <x v="0"/>
    <x v="2"/>
    <x v="789"/>
  </r>
  <r>
    <x v="792"/>
    <n v="79"/>
    <x v="1"/>
    <x v="101"/>
    <x v="0"/>
    <x v="2"/>
    <x v="0"/>
    <x v="790"/>
  </r>
  <r>
    <x v="793"/>
    <n v="81"/>
    <x v="0"/>
    <x v="113"/>
    <x v="1"/>
    <x v="1"/>
    <x v="1"/>
    <x v="791"/>
  </r>
  <r>
    <x v="794"/>
    <n v="83"/>
    <x v="0"/>
    <x v="49"/>
    <x v="1"/>
    <x v="0"/>
    <x v="1"/>
    <x v="792"/>
  </r>
  <r>
    <x v="795"/>
    <n v="83"/>
    <x v="0"/>
    <x v="12"/>
    <x v="0"/>
    <x v="0"/>
    <x v="0"/>
    <x v="793"/>
  </r>
  <r>
    <x v="796"/>
    <n v="62"/>
    <x v="2"/>
    <x v="82"/>
    <x v="2"/>
    <x v="2"/>
    <x v="0"/>
    <x v="794"/>
  </r>
  <r>
    <x v="797"/>
    <n v="77"/>
    <x v="1"/>
    <x v="122"/>
    <x v="0"/>
    <x v="1"/>
    <x v="0"/>
    <x v="679"/>
  </r>
  <r>
    <x v="798"/>
    <n v="87"/>
    <x v="0"/>
    <x v="32"/>
    <x v="0"/>
    <x v="2"/>
    <x v="2"/>
    <x v="795"/>
  </r>
  <r>
    <x v="799"/>
    <n v="38"/>
    <x v="2"/>
    <x v="147"/>
    <x v="1"/>
    <x v="0"/>
    <x v="1"/>
    <x v="796"/>
  </r>
  <r>
    <x v="800"/>
    <n v="77"/>
    <x v="2"/>
    <x v="176"/>
    <x v="2"/>
    <x v="2"/>
    <x v="0"/>
    <x v="797"/>
  </r>
  <r>
    <x v="801"/>
    <n v="98"/>
    <x v="1"/>
    <x v="127"/>
    <x v="0"/>
    <x v="2"/>
    <x v="0"/>
    <x v="798"/>
  </r>
  <r>
    <x v="802"/>
    <n v="93"/>
    <x v="0"/>
    <x v="146"/>
    <x v="1"/>
    <x v="1"/>
    <x v="0"/>
    <x v="799"/>
  </r>
  <r>
    <x v="803"/>
    <n v="13"/>
    <x v="0"/>
    <x v="34"/>
    <x v="2"/>
    <x v="0"/>
    <x v="0"/>
    <x v="800"/>
  </r>
  <r>
    <x v="804"/>
    <n v="23"/>
    <x v="1"/>
    <x v="181"/>
    <x v="2"/>
    <x v="2"/>
    <x v="2"/>
    <x v="801"/>
  </r>
  <r>
    <x v="805"/>
    <n v="22"/>
    <x v="1"/>
    <x v="74"/>
    <x v="1"/>
    <x v="1"/>
    <x v="2"/>
    <x v="802"/>
  </r>
  <r>
    <x v="806"/>
    <n v="99"/>
    <x v="2"/>
    <x v="126"/>
    <x v="2"/>
    <x v="0"/>
    <x v="1"/>
    <x v="803"/>
  </r>
  <r>
    <x v="807"/>
    <n v="99"/>
    <x v="2"/>
    <x v="132"/>
    <x v="0"/>
    <x v="0"/>
    <x v="0"/>
    <x v="804"/>
  </r>
  <r>
    <x v="808"/>
    <n v="8"/>
    <x v="0"/>
    <x v="130"/>
    <x v="2"/>
    <x v="0"/>
    <x v="0"/>
    <x v="805"/>
  </r>
  <r>
    <x v="809"/>
    <n v="77"/>
    <x v="1"/>
    <x v="70"/>
    <x v="0"/>
    <x v="1"/>
    <x v="2"/>
    <x v="806"/>
  </r>
  <r>
    <x v="810"/>
    <n v="7"/>
    <x v="1"/>
    <x v="28"/>
    <x v="2"/>
    <x v="2"/>
    <x v="0"/>
    <x v="807"/>
  </r>
  <r>
    <x v="811"/>
    <n v="76"/>
    <x v="0"/>
    <x v="176"/>
    <x v="1"/>
    <x v="1"/>
    <x v="1"/>
    <x v="808"/>
  </r>
  <r>
    <x v="812"/>
    <n v="93"/>
    <x v="1"/>
    <x v="19"/>
    <x v="2"/>
    <x v="0"/>
    <x v="0"/>
    <x v="809"/>
  </r>
  <r>
    <x v="813"/>
    <n v="79"/>
    <x v="0"/>
    <x v="34"/>
    <x v="0"/>
    <x v="0"/>
    <x v="2"/>
    <x v="810"/>
  </r>
  <r>
    <x v="814"/>
    <n v="65"/>
    <x v="0"/>
    <x v="115"/>
    <x v="2"/>
    <x v="2"/>
    <x v="0"/>
    <x v="811"/>
  </r>
  <r>
    <x v="815"/>
    <n v="43"/>
    <x v="1"/>
    <x v="127"/>
    <x v="2"/>
    <x v="0"/>
    <x v="2"/>
    <x v="812"/>
  </r>
  <r>
    <x v="816"/>
    <n v="96"/>
    <x v="0"/>
    <x v="141"/>
    <x v="1"/>
    <x v="1"/>
    <x v="1"/>
    <x v="813"/>
  </r>
  <r>
    <x v="817"/>
    <n v="82"/>
    <x v="1"/>
    <x v="18"/>
    <x v="0"/>
    <x v="1"/>
    <x v="0"/>
    <x v="814"/>
  </r>
  <r>
    <x v="818"/>
    <n v="63"/>
    <x v="2"/>
    <x v="161"/>
    <x v="2"/>
    <x v="1"/>
    <x v="1"/>
    <x v="815"/>
  </r>
  <r>
    <x v="819"/>
    <n v="61"/>
    <x v="1"/>
    <x v="21"/>
    <x v="0"/>
    <x v="1"/>
    <x v="2"/>
    <x v="816"/>
  </r>
  <r>
    <x v="820"/>
    <n v="65"/>
    <x v="2"/>
    <x v="177"/>
    <x v="2"/>
    <x v="2"/>
    <x v="0"/>
    <x v="817"/>
  </r>
  <r>
    <x v="821"/>
    <n v="41"/>
    <x v="1"/>
    <x v="10"/>
    <x v="0"/>
    <x v="2"/>
    <x v="2"/>
    <x v="818"/>
  </r>
  <r>
    <x v="822"/>
    <n v="88"/>
    <x v="2"/>
    <x v="96"/>
    <x v="1"/>
    <x v="0"/>
    <x v="1"/>
    <x v="819"/>
  </r>
  <r>
    <x v="823"/>
    <n v="45"/>
    <x v="0"/>
    <x v="145"/>
    <x v="0"/>
    <x v="0"/>
    <x v="1"/>
    <x v="820"/>
  </r>
  <r>
    <x v="824"/>
    <n v="26"/>
    <x v="1"/>
    <x v="7"/>
    <x v="0"/>
    <x v="2"/>
    <x v="1"/>
    <x v="821"/>
  </r>
  <r>
    <x v="825"/>
    <n v="8"/>
    <x v="2"/>
    <x v="7"/>
    <x v="0"/>
    <x v="0"/>
    <x v="2"/>
    <x v="822"/>
  </r>
  <r>
    <x v="826"/>
    <n v="96"/>
    <x v="2"/>
    <x v="45"/>
    <x v="0"/>
    <x v="0"/>
    <x v="2"/>
    <x v="823"/>
  </r>
  <r>
    <x v="827"/>
    <n v="25"/>
    <x v="1"/>
    <x v="165"/>
    <x v="2"/>
    <x v="1"/>
    <x v="2"/>
    <x v="824"/>
  </r>
  <r>
    <x v="828"/>
    <n v="90"/>
    <x v="2"/>
    <x v="123"/>
    <x v="1"/>
    <x v="1"/>
    <x v="1"/>
    <x v="825"/>
  </r>
  <r>
    <x v="829"/>
    <n v="62"/>
    <x v="2"/>
    <x v="159"/>
    <x v="2"/>
    <x v="2"/>
    <x v="0"/>
    <x v="826"/>
  </r>
  <r>
    <x v="830"/>
    <n v="57"/>
    <x v="0"/>
    <x v="39"/>
    <x v="1"/>
    <x v="1"/>
    <x v="2"/>
    <x v="827"/>
  </r>
  <r>
    <x v="831"/>
    <n v="37"/>
    <x v="2"/>
    <x v="111"/>
    <x v="2"/>
    <x v="1"/>
    <x v="1"/>
    <x v="828"/>
  </r>
  <r>
    <x v="832"/>
    <n v="90"/>
    <x v="2"/>
    <x v="2"/>
    <x v="0"/>
    <x v="0"/>
    <x v="0"/>
    <x v="829"/>
  </r>
  <r>
    <x v="833"/>
    <n v="4"/>
    <x v="0"/>
    <x v="135"/>
    <x v="1"/>
    <x v="2"/>
    <x v="1"/>
    <x v="830"/>
  </r>
  <r>
    <x v="834"/>
    <n v="69"/>
    <x v="1"/>
    <x v="23"/>
    <x v="2"/>
    <x v="1"/>
    <x v="1"/>
    <x v="831"/>
  </r>
  <r>
    <x v="835"/>
    <n v="95"/>
    <x v="0"/>
    <x v="12"/>
    <x v="2"/>
    <x v="1"/>
    <x v="1"/>
    <x v="832"/>
  </r>
  <r>
    <x v="836"/>
    <n v="30"/>
    <x v="1"/>
    <x v="46"/>
    <x v="2"/>
    <x v="0"/>
    <x v="2"/>
    <x v="833"/>
  </r>
  <r>
    <x v="837"/>
    <n v="76"/>
    <x v="0"/>
    <x v="152"/>
    <x v="2"/>
    <x v="1"/>
    <x v="1"/>
    <x v="834"/>
  </r>
  <r>
    <x v="838"/>
    <n v="26"/>
    <x v="2"/>
    <x v="4"/>
    <x v="2"/>
    <x v="1"/>
    <x v="1"/>
    <x v="835"/>
  </r>
  <r>
    <x v="839"/>
    <n v="95"/>
    <x v="0"/>
    <x v="179"/>
    <x v="2"/>
    <x v="2"/>
    <x v="1"/>
    <x v="836"/>
  </r>
  <r>
    <x v="840"/>
    <n v="49"/>
    <x v="0"/>
    <x v="75"/>
    <x v="0"/>
    <x v="0"/>
    <x v="2"/>
    <x v="837"/>
  </r>
  <r>
    <x v="841"/>
    <n v="32"/>
    <x v="1"/>
    <x v="24"/>
    <x v="2"/>
    <x v="0"/>
    <x v="1"/>
    <x v="838"/>
  </r>
  <r>
    <x v="842"/>
    <n v="97"/>
    <x v="1"/>
    <x v="26"/>
    <x v="2"/>
    <x v="2"/>
    <x v="0"/>
    <x v="839"/>
  </r>
  <r>
    <x v="843"/>
    <n v="83"/>
    <x v="0"/>
    <x v="47"/>
    <x v="0"/>
    <x v="1"/>
    <x v="1"/>
    <x v="840"/>
  </r>
  <r>
    <x v="844"/>
    <n v="50"/>
    <x v="2"/>
    <x v="140"/>
    <x v="0"/>
    <x v="2"/>
    <x v="1"/>
    <x v="841"/>
  </r>
  <r>
    <x v="845"/>
    <n v="48"/>
    <x v="0"/>
    <x v="33"/>
    <x v="1"/>
    <x v="0"/>
    <x v="2"/>
    <x v="842"/>
  </r>
  <r>
    <x v="846"/>
    <n v="33"/>
    <x v="1"/>
    <x v="112"/>
    <x v="0"/>
    <x v="2"/>
    <x v="0"/>
    <x v="843"/>
  </r>
  <r>
    <x v="847"/>
    <n v="28"/>
    <x v="1"/>
    <x v="67"/>
    <x v="0"/>
    <x v="1"/>
    <x v="0"/>
    <x v="844"/>
  </r>
  <r>
    <x v="848"/>
    <n v="100"/>
    <x v="2"/>
    <x v="178"/>
    <x v="0"/>
    <x v="1"/>
    <x v="0"/>
    <x v="845"/>
  </r>
  <r>
    <x v="849"/>
    <n v="10"/>
    <x v="0"/>
    <x v="62"/>
    <x v="0"/>
    <x v="2"/>
    <x v="1"/>
    <x v="846"/>
  </r>
  <r>
    <x v="850"/>
    <n v="95"/>
    <x v="1"/>
    <x v="88"/>
    <x v="0"/>
    <x v="2"/>
    <x v="1"/>
    <x v="847"/>
  </r>
  <r>
    <x v="851"/>
    <n v="7"/>
    <x v="1"/>
    <x v="85"/>
    <x v="1"/>
    <x v="2"/>
    <x v="0"/>
    <x v="848"/>
  </r>
  <r>
    <x v="852"/>
    <n v="12"/>
    <x v="0"/>
    <x v="128"/>
    <x v="2"/>
    <x v="2"/>
    <x v="1"/>
    <x v="849"/>
  </r>
  <r>
    <x v="853"/>
    <n v="14"/>
    <x v="1"/>
    <x v="70"/>
    <x v="2"/>
    <x v="0"/>
    <x v="0"/>
    <x v="850"/>
  </r>
  <r>
    <x v="854"/>
    <n v="31"/>
    <x v="2"/>
    <x v="139"/>
    <x v="0"/>
    <x v="1"/>
    <x v="0"/>
    <x v="851"/>
  </r>
  <r>
    <x v="855"/>
    <n v="20"/>
    <x v="0"/>
    <x v="84"/>
    <x v="2"/>
    <x v="1"/>
    <x v="2"/>
    <x v="852"/>
  </r>
  <r>
    <x v="856"/>
    <n v="49"/>
    <x v="1"/>
    <x v="81"/>
    <x v="0"/>
    <x v="2"/>
    <x v="1"/>
    <x v="853"/>
  </r>
  <r>
    <x v="857"/>
    <n v="51"/>
    <x v="0"/>
    <x v="165"/>
    <x v="2"/>
    <x v="0"/>
    <x v="0"/>
    <x v="854"/>
  </r>
  <r>
    <x v="858"/>
    <n v="25"/>
    <x v="2"/>
    <x v="92"/>
    <x v="1"/>
    <x v="0"/>
    <x v="2"/>
    <x v="855"/>
  </r>
  <r>
    <x v="859"/>
    <n v="10"/>
    <x v="0"/>
    <x v="62"/>
    <x v="0"/>
    <x v="2"/>
    <x v="0"/>
    <x v="856"/>
  </r>
  <r>
    <x v="860"/>
    <n v="51"/>
    <x v="0"/>
    <x v="50"/>
    <x v="2"/>
    <x v="1"/>
    <x v="1"/>
    <x v="857"/>
  </r>
  <r>
    <x v="861"/>
    <n v="63"/>
    <x v="0"/>
    <x v="179"/>
    <x v="0"/>
    <x v="1"/>
    <x v="0"/>
    <x v="858"/>
  </r>
  <r>
    <x v="862"/>
    <n v="46"/>
    <x v="1"/>
    <x v="168"/>
    <x v="2"/>
    <x v="1"/>
    <x v="1"/>
    <x v="859"/>
  </r>
  <r>
    <x v="863"/>
    <n v="95"/>
    <x v="2"/>
    <x v="41"/>
    <x v="0"/>
    <x v="1"/>
    <x v="2"/>
    <x v="860"/>
  </r>
  <r>
    <x v="864"/>
    <n v="97"/>
    <x v="0"/>
    <x v="152"/>
    <x v="2"/>
    <x v="1"/>
    <x v="0"/>
    <x v="861"/>
  </r>
  <r>
    <x v="865"/>
    <n v="99"/>
    <x v="2"/>
    <x v="78"/>
    <x v="2"/>
    <x v="0"/>
    <x v="0"/>
    <x v="862"/>
  </r>
  <r>
    <x v="866"/>
    <n v="9"/>
    <x v="2"/>
    <x v="168"/>
    <x v="2"/>
    <x v="0"/>
    <x v="1"/>
    <x v="863"/>
  </r>
  <r>
    <x v="867"/>
    <n v="38"/>
    <x v="2"/>
    <x v="122"/>
    <x v="2"/>
    <x v="1"/>
    <x v="2"/>
    <x v="864"/>
  </r>
  <r>
    <x v="868"/>
    <n v="55"/>
    <x v="1"/>
    <x v="32"/>
    <x v="2"/>
    <x v="1"/>
    <x v="2"/>
    <x v="865"/>
  </r>
  <r>
    <x v="869"/>
    <n v="39"/>
    <x v="0"/>
    <x v="129"/>
    <x v="1"/>
    <x v="1"/>
    <x v="0"/>
    <x v="866"/>
  </r>
  <r>
    <x v="870"/>
    <n v="59"/>
    <x v="0"/>
    <x v="155"/>
    <x v="2"/>
    <x v="1"/>
    <x v="2"/>
    <x v="867"/>
  </r>
  <r>
    <x v="871"/>
    <n v="1"/>
    <x v="1"/>
    <x v="56"/>
    <x v="1"/>
    <x v="0"/>
    <x v="1"/>
    <x v="868"/>
  </r>
  <r>
    <x v="872"/>
    <n v="5"/>
    <x v="1"/>
    <x v="134"/>
    <x v="2"/>
    <x v="1"/>
    <x v="0"/>
    <x v="869"/>
  </r>
  <r>
    <x v="873"/>
    <n v="1"/>
    <x v="2"/>
    <x v="91"/>
    <x v="2"/>
    <x v="1"/>
    <x v="0"/>
    <x v="870"/>
  </r>
  <r>
    <x v="874"/>
    <n v="81"/>
    <x v="0"/>
    <x v="153"/>
    <x v="0"/>
    <x v="2"/>
    <x v="2"/>
    <x v="871"/>
  </r>
  <r>
    <x v="875"/>
    <n v="31"/>
    <x v="2"/>
    <x v="141"/>
    <x v="2"/>
    <x v="1"/>
    <x v="2"/>
    <x v="872"/>
  </r>
  <r>
    <x v="876"/>
    <n v="67"/>
    <x v="0"/>
    <x v="83"/>
    <x v="0"/>
    <x v="0"/>
    <x v="1"/>
    <x v="873"/>
  </r>
  <r>
    <x v="877"/>
    <n v="13"/>
    <x v="1"/>
    <x v="56"/>
    <x v="1"/>
    <x v="1"/>
    <x v="1"/>
    <x v="874"/>
  </r>
  <r>
    <x v="878"/>
    <n v="37"/>
    <x v="0"/>
    <x v="35"/>
    <x v="1"/>
    <x v="2"/>
    <x v="2"/>
    <x v="875"/>
  </r>
  <r>
    <x v="879"/>
    <n v="91"/>
    <x v="2"/>
    <x v="91"/>
    <x v="2"/>
    <x v="0"/>
    <x v="0"/>
    <x v="876"/>
  </r>
  <r>
    <x v="880"/>
    <n v="26"/>
    <x v="1"/>
    <x v="65"/>
    <x v="1"/>
    <x v="0"/>
    <x v="1"/>
    <x v="877"/>
  </r>
  <r>
    <x v="881"/>
    <n v="39"/>
    <x v="1"/>
    <x v="16"/>
    <x v="0"/>
    <x v="2"/>
    <x v="1"/>
    <x v="878"/>
  </r>
  <r>
    <x v="882"/>
    <n v="35"/>
    <x v="1"/>
    <x v="0"/>
    <x v="0"/>
    <x v="0"/>
    <x v="0"/>
    <x v="879"/>
  </r>
  <r>
    <x v="883"/>
    <n v="4"/>
    <x v="2"/>
    <x v="71"/>
    <x v="1"/>
    <x v="0"/>
    <x v="2"/>
    <x v="880"/>
  </r>
  <r>
    <x v="884"/>
    <n v="28"/>
    <x v="2"/>
    <x v="98"/>
    <x v="2"/>
    <x v="1"/>
    <x v="0"/>
    <x v="881"/>
  </r>
  <r>
    <x v="885"/>
    <n v="4"/>
    <x v="0"/>
    <x v="149"/>
    <x v="2"/>
    <x v="0"/>
    <x v="0"/>
    <x v="882"/>
  </r>
  <r>
    <x v="886"/>
    <n v="95"/>
    <x v="0"/>
    <x v="106"/>
    <x v="0"/>
    <x v="2"/>
    <x v="2"/>
    <x v="883"/>
  </r>
  <r>
    <x v="887"/>
    <n v="17"/>
    <x v="2"/>
    <x v="51"/>
    <x v="0"/>
    <x v="1"/>
    <x v="1"/>
    <x v="884"/>
  </r>
  <r>
    <x v="888"/>
    <n v="52"/>
    <x v="1"/>
    <x v="128"/>
    <x v="0"/>
    <x v="2"/>
    <x v="1"/>
    <x v="885"/>
  </r>
  <r>
    <x v="889"/>
    <n v="49"/>
    <x v="0"/>
    <x v="8"/>
    <x v="1"/>
    <x v="0"/>
    <x v="1"/>
    <x v="886"/>
  </r>
  <r>
    <x v="890"/>
    <n v="90"/>
    <x v="1"/>
    <x v="173"/>
    <x v="1"/>
    <x v="0"/>
    <x v="2"/>
    <x v="887"/>
  </r>
  <r>
    <x v="891"/>
    <n v="4"/>
    <x v="0"/>
    <x v="165"/>
    <x v="1"/>
    <x v="1"/>
    <x v="1"/>
    <x v="888"/>
  </r>
  <r>
    <x v="892"/>
    <n v="64"/>
    <x v="0"/>
    <x v="158"/>
    <x v="2"/>
    <x v="0"/>
    <x v="2"/>
    <x v="889"/>
  </r>
  <r>
    <x v="893"/>
    <n v="73"/>
    <x v="0"/>
    <x v="44"/>
    <x v="2"/>
    <x v="0"/>
    <x v="2"/>
    <x v="890"/>
  </r>
  <r>
    <x v="894"/>
    <n v="64"/>
    <x v="0"/>
    <x v="80"/>
    <x v="1"/>
    <x v="0"/>
    <x v="0"/>
    <x v="891"/>
  </r>
  <r>
    <x v="895"/>
    <n v="64"/>
    <x v="0"/>
    <x v="27"/>
    <x v="1"/>
    <x v="0"/>
    <x v="2"/>
    <x v="892"/>
  </r>
  <r>
    <x v="896"/>
    <n v="56"/>
    <x v="1"/>
    <x v="28"/>
    <x v="1"/>
    <x v="0"/>
    <x v="2"/>
    <x v="893"/>
  </r>
  <r>
    <x v="897"/>
    <n v="58"/>
    <x v="0"/>
    <x v="73"/>
    <x v="2"/>
    <x v="2"/>
    <x v="2"/>
    <x v="894"/>
  </r>
  <r>
    <x v="898"/>
    <n v="65"/>
    <x v="2"/>
    <x v="168"/>
    <x v="0"/>
    <x v="1"/>
    <x v="2"/>
    <x v="895"/>
  </r>
  <r>
    <x v="899"/>
    <n v="84"/>
    <x v="1"/>
    <x v="179"/>
    <x v="2"/>
    <x v="1"/>
    <x v="2"/>
    <x v="896"/>
  </r>
  <r>
    <x v="900"/>
    <n v="27"/>
    <x v="2"/>
    <x v="88"/>
    <x v="1"/>
    <x v="1"/>
    <x v="2"/>
    <x v="897"/>
  </r>
  <r>
    <x v="901"/>
    <n v="60"/>
    <x v="0"/>
    <x v="121"/>
    <x v="0"/>
    <x v="0"/>
    <x v="2"/>
    <x v="898"/>
  </r>
  <r>
    <x v="902"/>
    <n v="88"/>
    <x v="1"/>
    <x v="52"/>
    <x v="2"/>
    <x v="0"/>
    <x v="1"/>
    <x v="899"/>
  </r>
  <r>
    <x v="903"/>
    <n v="4"/>
    <x v="2"/>
    <x v="74"/>
    <x v="2"/>
    <x v="2"/>
    <x v="0"/>
    <x v="900"/>
  </r>
  <r>
    <x v="904"/>
    <n v="100"/>
    <x v="1"/>
    <x v="139"/>
    <x v="2"/>
    <x v="0"/>
    <x v="2"/>
    <x v="901"/>
  </r>
  <r>
    <x v="905"/>
    <n v="6"/>
    <x v="0"/>
    <x v="75"/>
    <x v="2"/>
    <x v="1"/>
    <x v="0"/>
    <x v="902"/>
  </r>
  <r>
    <x v="906"/>
    <n v="4"/>
    <x v="0"/>
    <x v="179"/>
    <x v="0"/>
    <x v="0"/>
    <x v="0"/>
    <x v="903"/>
  </r>
  <r>
    <x v="907"/>
    <n v="31"/>
    <x v="1"/>
    <x v="39"/>
    <x v="0"/>
    <x v="2"/>
    <x v="2"/>
    <x v="904"/>
  </r>
  <r>
    <x v="908"/>
    <n v="6"/>
    <x v="1"/>
    <x v="49"/>
    <x v="0"/>
    <x v="1"/>
    <x v="0"/>
    <x v="905"/>
  </r>
  <r>
    <x v="909"/>
    <n v="43"/>
    <x v="1"/>
    <x v="110"/>
    <x v="2"/>
    <x v="2"/>
    <x v="2"/>
    <x v="906"/>
  </r>
  <r>
    <x v="910"/>
    <n v="82"/>
    <x v="1"/>
    <x v="98"/>
    <x v="0"/>
    <x v="0"/>
    <x v="0"/>
    <x v="907"/>
  </r>
  <r>
    <x v="911"/>
    <n v="46"/>
    <x v="1"/>
    <x v="9"/>
    <x v="0"/>
    <x v="2"/>
    <x v="0"/>
    <x v="908"/>
  </r>
  <r>
    <x v="912"/>
    <n v="77"/>
    <x v="1"/>
    <x v="43"/>
    <x v="2"/>
    <x v="2"/>
    <x v="1"/>
    <x v="909"/>
  </r>
  <r>
    <x v="913"/>
    <n v="89"/>
    <x v="1"/>
    <x v="22"/>
    <x v="1"/>
    <x v="1"/>
    <x v="1"/>
    <x v="910"/>
  </r>
  <r>
    <x v="914"/>
    <n v="66"/>
    <x v="2"/>
    <x v="54"/>
    <x v="2"/>
    <x v="2"/>
    <x v="0"/>
    <x v="911"/>
  </r>
  <r>
    <x v="915"/>
    <n v="7"/>
    <x v="0"/>
    <x v="90"/>
    <x v="2"/>
    <x v="2"/>
    <x v="0"/>
    <x v="912"/>
  </r>
  <r>
    <x v="916"/>
    <n v="66"/>
    <x v="2"/>
    <x v="118"/>
    <x v="0"/>
    <x v="1"/>
    <x v="1"/>
    <x v="913"/>
  </r>
  <r>
    <x v="917"/>
    <n v="24"/>
    <x v="1"/>
    <x v="178"/>
    <x v="0"/>
    <x v="2"/>
    <x v="0"/>
    <x v="914"/>
  </r>
  <r>
    <x v="918"/>
    <n v="35"/>
    <x v="2"/>
    <x v="150"/>
    <x v="1"/>
    <x v="0"/>
    <x v="0"/>
    <x v="915"/>
  </r>
  <r>
    <x v="919"/>
    <n v="47"/>
    <x v="1"/>
    <x v="41"/>
    <x v="2"/>
    <x v="2"/>
    <x v="0"/>
    <x v="916"/>
  </r>
  <r>
    <x v="920"/>
    <n v="91"/>
    <x v="2"/>
    <x v="107"/>
    <x v="1"/>
    <x v="2"/>
    <x v="1"/>
    <x v="917"/>
  </r>
  <r>
    <x v="921"/>
    <n v="90"/>
    <x v="2"/>
    <x v="127"/>
    <x v="0"/>
    <x v="0"/>
    <x v="0"/>
    <x v="918"/>
  </r>
  <r>
    <x v="922"/>
    <n v="36"/>
    <x v="0"/>
    <x v="27"/>
    <x v="2"/>
    <x v="0"/>
    <x v="0"/>
    <x v="524"/>
  </r>
  <r>
    <x v="923"/>
    <n v="2"/>
    <x v="2"/>
    <x v="170"/>
    <x v="0"/>
    <x v="0"/>
    <x v="2"/>
    <x v="919"/>
  </r>
  <r>
    <x v="924"/>
    <n v="11"/>
    <x v="1"/>
    <x v="13"/>
    <x v="1"/>
    <x v="0"/>
    <x v="1"/>
    <x v="920"/>
  </r>
  <r>
    <x v="925"/>
    <n v="16"/>
    <x v="1"/>
    <x v="79"/>
    <x v="1"/>
    <x v="2"/>
    <x v="1"/>
    <x v="921"/>
  </r>
  <r>
    <x v="926"/>
    <n v="44"/>
    <x v="2"/>
    <x v="130"/>
    <x v="2"/>
    <x v="2"/>
    <x v="0"/>
    <x v="922"/>
  </r>
  <r>
    <x v="927"/>
    <n v="80"/>
    <x v="0"/>
    <x v="63"/>
    <x v="1"/>
    <x v="2"/>
    <x v="2"/>
    <x v="923"/>
  </r>
  <r>
    <x v="928"/>
    <n v="5"/>
    <x v="1"/>
    <x v="63"/>
    <x v="2"/>
    <x v="1"/>
    <x v="0"/>
    <x v="924"/>
  </r>
  <r>
    <x v="929"/>
    <n v="52"/>
    <x v="1"/>
    <x v="15"/>
    <x v="0"/>
    <x v="1"/>
    <x v="1"/>
    <x v="925"/>
  </r>
  <r>
    <x v="930"/>
    <n v="81"/>
    <x v="0"/>
    <x v="83"/>
    <x v="1"/>
    <x v="1"/>
    <x v="1"/>
    <x v="926"/>
  </r>
  <r>
    <x v="931"/>
    <n v="80"/>
    <x v="1"/>
    <x v="15"/>
    <x v="1"/>
    <x v="2"/>
    <x v="0"/>
    <x v="927"/>
  </r>
  <r>
    <x v="932"/>
    <n v="15"/>
    <x v="2"/>
    <x v="73"/>
    <x v="1"/>
    <x v="0"/>
    <x v="0"/>
    <x v="928"/>
  </r>
  <r>
    <x v="933"/>
    <n v="62"/>
    <x v="2"/>
    <x v="19"/>
    <x v="2"/>
    <x v="0"/>
    <x v="2"/>
    <x v="929"/>
  </r>
  <r>
    <x v="934"/>
    <n v="46"/>
    <x v="0"/>
    <x v="45"/>
    <x v="2"/>
    <x v="1"/>
    <x v="1"/>
    <x v="930"/>
  </r>
  <r>
    <x v="935"/>
    <n v="7"/>
    <x v="2"/>
    <x v="89"/>
    <x v="0"/>
    <x v="2"/>
    <x v="1"/>
    <x v="931"/>
  </r>
  <r>
    <x v="936"/>
    <n v="94"/>
    <x v="0"/>
    <x v="153"/>
    <x v="1"/>
    <x v="1"/>
    <x v="2"/>
    <x v="932"/>
  </r>
  <r>
    <x v="937"/>
    <n v="38"/>
    <x v="0"/>
    <x v="74"/>
    <x v="2"/>
    <x v="0"/>
    <x v="2"/>
    <x v="933"/>
  </r>
  <r>
    <x v="938"/>
    <n v="92"/>
    <x v="2"/>
    <x v="179"/>
    <x v="1"/>
    <x v="2"/>
    <x v="0"/>
    <x v="934"/>
  </r>
  <r>
    <x v="939"/>
    <n v="29"/>
    <x v="1"/>
    <x v="71"/>
    <x v="1"/>
    <x v="0"/>
    <x v="2"/>
    <x v="935"/>
  </r>
  <r>
    <x v="940"/>
    <n v="46"/>
    <x v="0"/>
    <x v="99"/>
    <x v="0"/>
    <x v="0"/>
    <x v="0"/>
    <x v="936"/>
  </r>
  <r>
    <x v="941"/>
    <n v="46"/>
    <x v="0"/>
    <x v="106"/>
    <x v="2"/>
    <x v="1"/>
    <x v="0"/>
    <x v="937"/>
  </r>
  <r>
    <x v="942"/>
    <n v="79"/>
    <x v="2"/>
    <x v="181"/>
    <x v="1"/>
    <x v="2"/>
    <x v="2"/>
    <x v="938"/>
  </r>
  <r>
    <x v="943"/>
    <n v="72"/>
    <x v="1"/>
    <x v="35"/>
    <x v="2"/>
    <x v="0"/>
    <x v="2"/>
    <x v="939"/>
  </r>
  <r>
    <x v="944"/>
    <n v="10"/>
    <x v="2"/>
    <x v="52"/>
    <x v="2"/>
    <x v="0"/>
    <x v="0"/>
    <x v="940"/>
  </r>
  <r>
    <x v="945"/>
    <n v="87"/>
    <x v="2"/>
    <x v="114"/>
    <x v="1"/>
    <x v="0"/>
    <x v="2"/>
    <x v="941"/>
  </r>
  <r>
    <x v="946"/>
    <n v="6"/>
    <x v="2"/>
    <x v="114"/>
    <x v="1"/>
    <x v="2"/>
    <x v="0"/>
    <x v="942"/>
  </r>
  <r>
    <x v="947"/>
    <n v="70"/>
    <x v="0"/>
    <x v="179"/>
    <x v="0"/>
    <x v="2"/>
    <x v="1"/>
    <x v="943"/>
  </r>
  <r>
    <x v="948"/>
    <n v="60"/>
    <x v="0"/>
    <x v="61"/>
    <x v="2"/>
    <x v="1"/>
    <x v="1"/>
    <x v="944"/>
  </r>
  <r>
    <x v="949"/>
    <n v="23"/>
    <x v="0"/>
    <x v="20"/>
    <x v="2"/>
    <x v="1"/>
    <x v="1"/>
    <x v="945"/>
  </r>
  <r>
    <x v="950"/>
    <n v="2"/>
    <x v="1"/>
    <x v="32"/>
    <x v="1"/>
    <x v="2"/>
    <x v="0"/>
    <x v="946"/>
  </r>
  <r>
    <x v="951"/>
    <n v="23"/>
    <x v="0"/>
    <x v="167"/>
    <x v="2"/>
    <x v="1"/>
    <x v="0"/>
    <x v="947"/>
  </r>
  <r>
    <x v="952"/>
    <n v="81"/>
    <x v="1"/>
    <x v="57"/>
    <x v="2"/>
    <x v="0"/>
    <x v="2"/>
    <x v="948"/>
  </r>
  <r>
    <x v="953"/>
    <n v="46"/>
    <x v="0"/>
    <x v="173"/>
    <x v="2"/>
    <x v="2"/>
    <x v="0"/>
    <x v="949"/>
  </r>
  <r>
    <x v="954"/>
    <n v="85"/>
    <x v="1"/>
    <x v="161"/>
    <x v="1"/>
    <x v="0"/>
    <x v="2"/>
    <x v="950"/>
  </r>
  <r>
    <x v="955"/>
    <n v="43"/>
    <x v="1"/>
    <x v="150"/>
    <x v="2"/>
    <x v="1"/>
    <x v="2"/>
    <x v="951"/>
  </r>
  <r>
    <x v="956"/>
    <n v="13"/>
    <x v="0"/>
    <x v="38"/>
    <x v="1"/>
    <x v="0"/>
    <x v="1"/>
    <x v="952"/>
  </r>
  <r>
    <x v="957"/>
    <n v="25"/>
    <x v="0"/>
    <x v="175"/>
    <x v="0"/>
    <x v="1"/>
    <x v="0"/>
    <x v="953"/>
  </r>
  <r>
    <x v="958"/>
    <n v="53"/>
    <x v="2"/>
    <x v="63"/>
    <x v="0"/>
    <x v="1"/>
    <x v="1"/>
    <x v="954"/>
  </r>
  <r>
    <x v="959"/>
    <n v="59"/>
    <x v="2"/>
    <x v="130"/>
    <x v="1"/>
    <x v="1"/>
    <x v="1"/>
    <x v="955"/>
  </r>
  <r>
    <x v="960"/>
    <n v="3"/>
    <x v="0"/>
    <x v="27"/>
    <x v="0"/>
    <x v="2"/>
    <x v="0"/>
    <x v="956"/>
  </r>
  <r>
    <x v="961"/>
    <n v="78"/>
    <x v="2"/>
    <x v="103"/>
    <x v="0"/>
    <x v="1"/>
    <x v="2"/>
    <x v="957"/>
  </r>
  <r>
    <x v="962"/>
    <n v="51"/>
    <x v="2"/>
    <x v="138"/>
    <x v="0"/>
    <x v="0"/>
    <x v="1"/>
    <x v="958"/>
  </r>
  <r>
    <x v="963"/>
    <n v="45"/>
    <x v="1"/>
    <x v="145"/>
    <x v="0"/>
    <x v="1"/>
    <x v="2"/>
    <x v="959"/>
  </r>
  <r>
    <x v="964"/>
    <n v="45"/>
    <x v="1"/>
    <x v="112"/>
    <x v="1"/>
    <x v="1"/>
    <x v="0"/>
    <x v="960"/>
  </r>
  <r>
    <x v="965"/>
    <n v="54"/>
    <x v="1"/>
    <x v="27"/>
    <x v="1"/>
    <x v="2"/>
    <x v="0"/>
    <x v="961"/>
  </r>
  <r>
    <x v="966"/>
    <n v="81"/>
    <x v="1"/>
    <x v="154"/>
    <x v="1"/>
    <x v="2"/>
    <x v="2"/>
    <x v="962"/>
  </r>
  <r>
    <x v="967"/>
    <n v="92"/>
    <x v="0"/>
    <x v="114"/>
    <x v="1"/>
    <x v="2"/>
    <x v="0"/>
    <x v="963"/>
  </r>
  <r>
    <x v="968"/>
    <n v="6"/>
    <x v="0"/>
    <x v="53"/>
    <x v="2"/>
    <x v="0"/>
    <x v="2"/>
    <x v="964"/>
  </r>
  <r>
    <x v="969"/>
    <n v="33"/>
    <x v="0"/>
    <x v="126"/>
    <x v="1"/>
    <x v="0"/>
    <x v="0"/>
    <x v="965"/>
  </r>
  <r>
    <x v="970"/>
    <n v="50"/>
    <x v="2"/>
    <x v="158"/>
    <x v="0"/>
    <x v="0"/>
    <x v="1"/>
    <x v="966"/>
  </r>
  <r>
    <x v="971"/>
    <n v="97"/>
    <x v="2"/>
    <x v="118"/>
    <x v="2"/>
    <x v="1"/>
    <x v="2"/>
    <x v="967"/>
  </r>
  <r>
    <x v="972"/>
    <n v="14"/>
    <x v="0"/>
    <x v="152"/>
    <x v="2"/>
    <x v="1"/>
    <x v="1"/>
    <x v="968"/>
  </r>
  <r>
    <x v="973"/>
    <n v="39"/>
    <x v="2"/>
    <x v="65"/>
    <x v="1"/>
    <x v="1"/>
    <x v="2"/>
    <x v="969"/>
  </r>
  <r>
    <x v="974"/>
    <n v="3"/>
    <x v="1"/>
    <x v="180"/>
    <x v="0"/>
    <x v="2"/>
    <x v="1"/>
    <x v="970"/>
  </r>
  <r>
    <x v="975"/>
    <n v="79"/>
    <x v="2"/>
    <x v="36"/>
    <x v="0"/>
    <x v="2"/>
    <x v="0"/>
    <x v="971"/>
  </r>
  <r>
    <x v="976"/>
    <n v="96"/>
    <x v="0"/>
    <x v="32"/>
    <x v="1"/>
    <x v="1"/>
    <x v="1"/>
    <x v="972"/>
  </r>
  <r>
    <x v="977"/>
    <n v="57"/>
    <x v="1"/>
    <x v="96"/>
    <x v="0"/>
    <x v="2"/>
    <x v="1"/>
    <x v="973"/>
  </r>
  <r>
    <x v="978"/>
    <n v="1"/>
    <x v="1"/>
    <x v="50"/>
    <x v="1"/>
    <x v="1"/>
    <x v="2"/>
    <x v="974"/>
  </r>
  <r>
    <x v="979"/>
    <n v="39"/>
    <x v="1"/>
    <x v="110"/>
    <x v="1"/>
    <x v="2"/>
    <x v="0"/>
    <x v="975"/>
  </r>
  <r>
    <x v="980"/>
    <n v="75"/>
    <x v="2"/>
    <x v="94"/>
    <x v="1"/>
    <x v="0"/>
    <x v="2"/>
    <x v="976"/>
  </r>
  <r>
    <x v="981"/>
    <n v="9"/>
    <x v="2"/>
    <x v="53"/>
    <x v="0"/>
    <x v="2"/>
    <x v="0"/>
    <x v="977"/>
  </r>
  <r>
    <x v="982"/>
    <n v="76"/>
    <x v="1"/>
    <x v="73"/>
    <x v="2"/>
    <x v="2"/>
    <x v="1"/>
    <x v="978"/>
  </r>
  <r>
    <x v="983"/>
    <n v="43"/>
    <x v="1"/>
    <x v="112"/>
    <x v="1"/>
    <x v="1"/>
    <x v="2"/>
    <x v="979"/>
  </r>
  <r>
    <x v="984"/>
    <n v="99"/>
    <x v="1"/>
    <x v="72"/>
    <x v="1"/>
    <x v="1"/>
    <x v="1"/>
    <x v="980"/>
  </r>
  <r>
    <x v="985"/>
    <n v="47"/>
    <x v="0"/>
    <x v="131"/>
    <x v="1"/>
    <x v="2"/>
    <x v="1"/>
    <x v="981"/>
  </r>
  <r>
    <x v="986"/>
    <n v="26"/>
    <x v="2"/>
    <x v="137"/>
    <x v="1"/>
    <x v="0"/>
    <x v="0"/>
    <x v="982"/>
  </r>
  <r>
    <x v="987"/>
    <n v="50"/>
    <x v="2"/>
    <x v="136"/>
    <x v="2"/>
    <x v="2"/>
    <x v="1"/>
    <x v="983"/>
  </r>
  <r>
    <x v="988"/>
    <n v="11"/>
    <x v="2"/>
    <x v="180"/>
    <x v="0"/>
    <x v="1"/>
    <x v="0"/>
    <x v="984"/>
  </r>
  <r>
    <x v="989"/>
    <n v="45"/>
    <x v="2"/>
    <x v="48"/>
    <x v="0"/>
    <x v="1"/>
    <x v="2"/>
    <x v="985"/>
  </r>
  <r>
    <x v="990"/>
    <n v="10"/>
    <x v="2"/>
    <x v="32"/>
    <x v="1"/>
    <x v="0"/>
    <x v="0"/>
    <x v="986"/>
  </r>
  <r>
    <x v="991"/>
    <n v="7"/>
    <x v="2"/>
    <x v="75"/>
    <x v="1"/>
    <x v="1"/>
    <x v="0"/>
    <x v="987"/>
  </r>
  <r>
    <x v="992"/>
    <n v="83"/>
    <x v="1"/>
    <x v="59"/>
    <x v="1"/>
    <x v="1"/>
    <x v="2"/>
    <x v="988"/>
  </r>
  <r>
    <x v="993"/>
    <n v="77"/>
    <x v="2"/>
    <x v="177"/>
    <x v="0"/>
    <x v="0"/>
    <x v="0"/>
    <x v="989"/>
  </r>
  <r>
    <x v="994"/>
    <n v="41"/>
    <x v="2"/>
    <x v="126"/>
    <x v="1"/>
    <x v="2"/>
    <x v="1"/>
    <x v="990"/>
  </r>
  <r>
    <x v="995"/>
    <n v="25"/>
    <x v="0"/>
    <x v="150"/>
    <x v="0"/>
    <x v="0"/>
    <x v="1"/>
    <x v="991"/>
  </r>
  <r>
    <x v="996"/>
    <n v="23"/>
    <x v="1"/>
    <x v="113"/>
    <x v="0"/>
    <x v="2"/>
    <x v="1"/>
    <x v="992"/>
  </r>
  <r>
    <x v="997"/>
    <n v="17"/>
    <x v="0"/>
    <x v="94"/>
    <x v="0"/>
    <x v="0"/>
    <x v="1"/>
    <x v="993"/>
  </r>
  <r>
    <x v="998"/>
    <n v="96"/>
    <x v="2"/>
    <x v="115"/>
    <x v="1"/>
    <x v="2"/>
    <x v="2"/>
    <x v="994"/>
  </r>
  <r>
    <x v="999"/>
    <n v="1"/>
    <x v="2"/>
    <x v="37"/>
    <x v="0"/>
    <x v="0"/>
    <x v="0"/>
    <x v="9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x v="0"/>
    <x v="0"/>
    <x v="0"/>
    <x v="0"/>
    <x v="0"/>
  </r>
  <r>
    <n v="2"/>
    <x v="1"/>
    <x v="1"/>
    <x v="1"/>
    <x v="0"/>
    <x v="0"/>
    <x v="0"/>
    <x v="1"/>
  </r>
  <r>
    <n v="3"/>
    <x v="2"/>
    <x v="0"/>
    <x v="2"/>
    <x v="1"/>
    <x v="0"/>
    <x v="1"/>
    <x v="2"/>
  </r>
  <r>
    <n v="4"/>
    <x v="3"/>
    <x v="1"/>
    <x v="3"/>
    <x v="1"/>
    <x v="1"/>
    <x v="1"/>
    <x v="3"/>
  </r>
  <r>
    <n v="5"/>
    <x v="4"/>
    <x v="2"/>
    <x v="1"/>
    <x v="0"/>
    <x v="0"/>
    <x v="2"/>
    <x v="4"/>
  </r>
  <r>
    <n v="6"/>
    <x v="5"/>
    <x v="1"/>
    <x v="4"/>
    <x v="1"/>
    <x v="2"/>
    <x v="0"/>
    <x v="5"/>
  </r>
  <r>
    <n v="7"/>
    <x v="6"/>
    <x v="2"/>
    <x v="5"/>
    <x v="1"/>
    <x v="1"/>
    <x v="2"/>
    <x v="6"/>
  </r>
  <r>
    <n v="8"/>
    <x v="7"/>
    <x v="0"/>
    <x v="6"/>
    <x v="1"/>
    <x v="2"/>
    <x v="2"/>
    <x v="7"/>
  </r>
  <r>
    <n v="9"/>
    <x v="8"/>
    <x v="0"/>
    <x v="7"/>
    <x v="0"/>
    <x v="1"/>
    <x v="2"/>
    <x v="8"/>
  </r>
  <r>
    <n v="10"/>
    <x v="9"/>
    <x v="0"/>
    <x v="8"/>
    <x v="0"/>
    <x v="1"/>
    <x v="0"/>
    <x v="9"/>
  </r>
  <r>
    <n v="11"/>
    <x v="10"/>
    <x v="0"/>
    <x v="9"/>
    <x v="2"/>
    <x v="2"/>
    <x v="1"/>
    <x v="10"/>
  </r>
  <r>
    <n v="12"/>
    <x v="11"/>
    <x v="0"/>
    <x v="10"/>
    <x v="0"/>
    <x v="0"/>
    <x v="2"/>
    <x v="11"/>
  </r>
  <r>
    <n v="13"/>
    <x v="12"/>
    <x v="2"/>
    <x v="11"/>
    <x v="0"/>
    <x v="0"/>
    <x v="0"/>
    <x v="12"/>
  </r>
  <r>
    <n v="14"/>
    <x v="13"/>
    <x v="2"/>
    <x v="12"/>
    <x v="2"/>
    <x v="1"/>
    <x v="2"/>
    <x v="13"/>
  </r>
  <r>
    <n v="15"/>
    <x v="14"/>
    <x v="2"/>
    <x v="13"/>
    <x v="0"/>
    <x v="1"/>
    <x v="2"/>
    <x v="14"/>
  </r>
  <r>
    <n v="16"/>
    <x v="3"/>
    <x v="1"/>
    <x v="14"/>
    <x v="0"/>
    <x v="0"/>
    <x v="1"/>
    <x v="15"/>
  </r>
  <r>
    <n v="17"/>
    <x v="15"/>
    <x v="0"/>
    <x v="15"/>
    <x v="1"/>
    <x v="0"/>
    <x v="0"/>
    <x v="16"/>
  </r>
  <r>
    <n v="18"/>
    <x v="16"/>
    <x v="2"/>
    <x v="16"/>
    <x v="0"/>
    <x v="1"/>
    <x v="0"/>
    <x v="17"/>
  </r>
  <r>
    <n v="19"/>
    <x v="17"/>
    <x v="1"/>
    <x v="2"/>
    <x v="1"/>
    <x v="1"/>
    <x v="2"/>
    <x v="18"/>
  </r>
  <r>
    <n v="20"/>
    <x v="18"/>
    <x v="0"/>
    <x v="17"/>
    <x v="1"/>
    <x v="2"/>
    <x v="2"/>
    <x v="19"/>
  </r>
  <r>
    <n v="21"/>
    <x v="19"/>
    <x v="1"/>
    <x v="13"/>
    <x v="2"/>
    <x v="0"/>
    <x v="0"/>
    <x v="20"/>
  </r>
  <r>
    <n v="22"/>
    <x v="1"/>
    <x v="0"/>
    <x v="18"/>
    <x v="2"/>
    <x v="0"/>
    <x v="0"/>
    <x v="21"/>
  </r>
  <r>
    <n v="23"/>
    <x v="20"/>
    <x v="0"/>
    <x v="19"/>
    <x v="2"/>
    <x v="2"/>
    <x v="1"/>
    <x v="22"/>
  </r>
  <r>
    <n v="24"/>
    <x v="0"/>
    <x v="0"/>
    <x v="20"/>
    <x v="0"/>
    <x v="1"/>
    <x v="0"/>
    <x v="23"/>
  </r>
  <r>
    <n v="25"/>
    <x v="21"/>
    <x v="2"/>
    <x v="21"/>
    <x v="2"/>
    <x v="2"/>
    <x v="2"/>
    <x v="24"/>
  </r>
  <r>
    <n v="26"/>
    <x v="22"/>
    <x v="0"/>
    <x v="22"/>
    <x v="0"/>
    <x v="2"/>
    <x v="0"/>
    <x v="25"/>
  </r>
  <r>
    <n v="27"/>
    <x v="23"/>
    <x v="2"/>
    <x v="12"/>
    <x v="0"/>
    <x v="2"/>
    <x v="2"/>
    <x v="26"/>
  </r>
  <r>
    <n v="28"/>
    <x v="24"/>
    <x v="0"/>
    <x v="23"/>
    <x v="0"/>
    <x v="1"/>
    <x v="2"/>
    <x v="27"/>
  </r>
  <r>
    <n v="29"/>
    <x v="25"/>
    <x v="0"/>
    <x v="24"/>
    <x v="0"/>
    <x v="2"/>
    <x v="1"/>
    <x v="28"/>
  </r>
  <r>
    <n v="30"/>
    <x v="5"/>
    <x v="1"/>
    <x v="25"/>
    <x v="2"/>
    <x v="1"/>
    <x v="0"/>
    <x v="29"/>
  </r>
  <r>
    <n v="31"/>
    <x v="8"/>
    <x v="0"/>
    <x v="26"/>
    <x v="2"/>
    <x v="1"/>
    <x v="1"/>
    <x v="30"/>
  </r>
  <r>
    <n v="32"/>
    <x v="26"/>
    <x v="0"/>
    <x v="27"/>
    <x v="2"/>
    <x v="2"/>
    <x v="0"/>
    <x v="31"/>
  </r>
  <r>
    <n v="33"/>
    <x v="4"/>
    <x v="2"/>
    <x v="28"/>
    <x v="1"/>
    <x v="0"/>
    <x v="0"/>
    <x v="32"/>
  </r>
  <r>
    <n v="34"/>
    <x v="27"/>
    <x v="0"/>
    <x v="29"/>
    <x v="2"/>
    <x v="1"/>
    <x v="2"/>
    <x v="33"/>
  </r>
  <r>
    <n v="35"/>
    <x v="28"/>
    <x v="1"/>
    <x v="30"/>
    <x v="0"/>
    <x v="1"/>
    <x v="1"/>
    <x v="34"/>
  </r>
  <r>
    <n v="36"/>
    <x v="9"/>
    <x v="0"/>
    <x v="31"/>
    <x v="2"/>
    <x v="1"/>
    <x v="1"/>
    <x v="35"/>
  </r>
  <r>
    <n v="37"/>
    <x v="29"/>
    <x v="2"/>
    <x v="14"/>
    <x v="1"/>
    <x v="1"/>
    <x v="2"/>
    <x v="36"/>
  </r>
  <r>
    <n v="38"/>
    <x v="30"/>
    <x v="1"/>
    <x v="32"/>
    <x v="1"/>
    <x v="2"/>
    <x v="1"/>
    <x v="37"/>
  </r>
  <r>
    <n v="39"/>
    <x v="31"/>
    <x v="1"/>
    <x v="33"/>
    <x v="1"/>
    <x v="1"/>
    <x v="2"/>
    <x v="38"/>
  </r>
  <r>
    <n v="40"/>
    <x v="32"/>
    <x v="2"/>
    <x v="34"/>
    <x v="2"/>
    <x v="1"/>
    <x v="0"/>
    <x v="39"/>
  </r>
  <r>
    <n v="41"/>
    <x v="16"/>
    <x v="1"/>
    <x v="35"/>
    <x v="0"/>
    <x v="0"/>
    <x v="2"/>
    <x v="40"/>
  </r>
  <r>
    <n v="42"/>
    <x v="33"/>
    <x v="1"/>
    <x v="36"/>
    <x v="2"/>
    <x v="1"/>
    <x v="1"/>
    <x v="41"/>
  </r>
  <r>
    <n v="43"/>
    <x v="13"/>
    <x v="2"/>
    <x v="37"/>
    <x v="2"/>
    <x v="2"/>
    <x v="0"/>
    <x v="42"/>
  </r>
  <r>
    <n v="44"/>
    <x v="34"/>
    <x v="0"/>
    <x v="36"/>
    <x v="2"/>
    <x v="0"/>
    <x v="0"/>
    <x v="43"/>
  </r>
  <r>
    <n v="45"/>
    <x v="35"/>
    <x v="1"/>
    <x v="38"/>
    <x v="2"/>
    <x v="0"/>
    <x v="1"/>
    <x v="44"/>
  </r>
  <r>
    <n v="46"/>
    <x v="36"/>
    <x v="0"/>
    <x v="39"/>
    <x v="2"/>
    <x v="2"/>
    <x v="2"/>
    <x v="45"/>
  </r>
  <r>
    <n v="47"/>
    <x v="37"/>
    <x v="0"/>
    <x v="40"/>
    <x v="0"/>
    <x v="1"/>
    <x v="2"/>
    <x v="46"/>
  </r>
  <r>
    <n v="48"/>
    <x v="36"/>
    <x v="0"/>
    <x v="41"/>
    <x v="0"/>
    <x v="2"/>
    <x v="2"/>
    <x v="47"/>
  </r>
  <r>
    <n v="49"/>
    <x v="38"/>
    <x v="1"/>
    <x v="42"/>
    <x v="0"/>
    <x v="0"/>
    <x v="1"/>
    <x v="48"/>
  </r>
  <r>
    <n v="50"/>
    <x v="39"/>
    <x v="1"/>
    <x v="34"/>
    <x v="0"/>
    <x v="2"/>
    <x v="2"/>
    <x v="49"/>
  </r>
  <r>
    <n v="51"/>
    <x v="3"/>
    <x v="0"/>
    <x v="43"/>
    <x v="1"/>
    <x v="0"/>
    <x v="0"/>
    <x v="50"/>
  </r>
  <r>
    <n v="52"/>
    <x v="40"/>
    <x v="0"/>
    <x v="44"/>
    <x v="2"/>
    <x v="0"/>
    <x v="2"/>
    <x v="51"/>
  </r>
  <r>
    <n v="53"/>
    <x v="18"/>
    <x v="1"/>
    <x v="41"/>
    <x v="2"/>
    <x v="1"/>
    <x v="1"/>
    <x v="52"/>
  </r>
  <r>
    <n v="54"/>
    <x v="41"/>
    <x v="2"/>
    <x v="15"/>
    <x v="0"/>
    <x v="2"/>
    <x v="0"/>
    <x v="53"/>
  </r>
  <r>
    <n v="55"/>
    <x v="42"/>
    <x v="0"/>
    <x v="37"/>
    <x v="1"/>
    <x v="1"/>
    <x v="1"/>
    <x v="54"/>
  </r>
  <r>
    <n v="56"/>
    <x v="43"/>
    <x v="0"/>
    <x v="45"/>
    <x v="2"/>
    <x v="0"/>
    <x v="1"/>
    <x v="55"/>
  </r>
  <r>
    <n v="57"/>
    <x v="11"/>
    <x v="0"/>
    <x v="18"/>
    <x v="1"/>
    <x v="2"/>
    <x v="1"/>
    <x v="56"/>
  </r>
  <r>
    <n v="58"/>
    <x v="44"/>
    <x v="2"/>
    <x v="17"/>
    <x v="0"/>
    <x v="1"/>
    <x v="2"/>
    <x v="57"/>
  </r>
  <r>
    <n v="59"/>
    <x v="37"/>
    <x v="0"/>
    <x v="46"/>
    <x v="1"/>
    <x v="1"/>
    <x v="1"/>
    <x v="58"/>
  </r>
  <r>
    <n v="60"/>
    <x v="12"/>
    <x v="1"/>
    <x v="47"/>
    <x v="2"/>
    <x v="0"/>
    <x v="0"/>
    <x v="59"/>
  </r>
  <r>
    <n v="61"/>
    <x v="23"/>
    <x v="0"/>
    <x v="48"/>
    <x v="0"/>
    <x v="1"/>
    <x v="0"/>
    <x v="60"/>
  </r>
  <r>
    <n v="62"/>
    <x v="45"/>
    <x v="2"/>
    <x v="49"/>
    <x v="0"/>
    <x v="2"/>
    <x v="0"/>
    <x v="61"/>
  </r>
  <r>
    <n v="63"/>
    <x v="46"/>
    <x v="0"/>
    <x v="23"/>
    <x v="2"/>
    <x v="1"/>
    <x v="2"/>
    <x v="62"/>
  </r>
  <r>
    <n v="64"/>
    <x v="47"/>
    <x v="2"/>
    <x v="50"/>
    <x v="2"/>
    <x v="0"/>
    <x v="1"/>
    <x v="63"/>
  </r>
  <r>
    <n v="65"/>
    <x v="48"/>
    <x v="1"/>
    <x v="51"/>
    <x v="0"/>
    <x v="1"/>
    <x v="0"/>
    <x v="64"/>
  </r>
  <r>
    <n v="66"/>
    <x v="49"/>
    <x v="1"/>
    <x v="52"/>
    <x v="1"/>
    <x v="0"/>
    <x v="0"/>
    <x v="65"/>
  </r>
  <r>
    <n v="67"/>
    <x v="12"/>
    <x v="1"/>
    <x v="53"/>
    <x v="1"/>
    <x v="0"/>
    <x v="1"/>
    <x v="66"/>
  </r>
  <r>
    <n v="68"/>
    <x v="50"/>
    <x v="2"/>
    <x v="51"/>
    <x v="1"/>
    <x v="0"/>
    <x v="1"/>
    <x v="67"/>
  </r>
  <r>
    <n v="69"/>
    <x v="20"/>
    <x v="2"/>
    <x v="44"/>
    <x v="0"/>
    <x v="2"/>
    <x v="1"/>
    <x v="68"/>
  </r>
  <r>
    <n v="70"/>
    <x v="5"/>
    <x v="1"/>
    <x v="21"/>
    <x v="0"/>
    <x v="0"/>
    <x v="2"/>
    <x v="69"/>
  </r>
  <r>
    <n v="71"/>
    <x v="51"/>
    <x v="2"/>
    <x v="54"/>
    <x v="2"/>
    <x v="2"/>
    <x v="1"/>
    <x v="70"/>
  </r>
  <r>
    <n v="72"/>
    <x v="52"/>
    <x v="0"/>
    <x v="55"/>
    <x v="0"/>
    <x v="2"/>
    <x v="1"/>
    <x v="71"/>
  </r>
  <r>
    <n v="73"/>
    <x v="0"/>
    <x v="1"/>
    <x v="56"/>
    <x v="1"/>
    <x v="0"/>
    <x v="0"/>
    <x v="72"/>
  </r>
  <r>
    <n v="74"/>
    <x v="45"/>
    <x v="1"/>
    <x v="30"/>
    <x v="0"/>
    <x v="1"/>
    <x v="0"/>
    <x v="73"/>
  </r>
  <r>
    <n v="75"/>
    <x v="47"/>
    <x v="1"/>
    <x v="41"/>
    <x v="0"/>
    <x v="1"/>
    <x v="2"/>
    <x v="74"/>
  </r>
  <r>
    <n v="76"/>
    <x v="36"/>
    <x v="1"/>
    <x v="57"/>
    <x v="2"/>
    <x v="0"/>
    <x v="2"/>
    <x v="75"/>
  </r>
  <r>
    <n v="77"/>
    <x v="35"/>
    <x v="1"/>
    <x v="58"/>
    <x v="0"/>
    <x v="1"/>
    <x v="2"/>
    <x v="76"/>
  </r>
  <r>
    <n v="78"/>
    <x v="17"/>
    <x v="1"/>
    <x v="11"/>
    <x v="0"/>
    <x v="1"/>
    <x v="1"/>
    <x v="77"/>
  </r>
  <r>
    <n v="79"/>
    <x v="53"/>
    <x v="0"/>
    <x v="37"/>
    <x v="1"/>
    <x v="2"/>
    <x v="0"/>
    <x v="78"/>
  </r>
  <r>
    <n v="80"/>
    <x v="54"/>
    <x v="0"/>
    <x v="50"/>
    <x v="2"/>
    <x v="2"/>
    <x v="1"/>
    <x v="79"/>
  </r>
  <r>
    <n v="81"/>
    <x v="53"/>
    <x v="1"/>
    <x v="59"/>
    <x v="2"/>
    <x v="0"/>
    <x v="2"/>
    <x v="80"/>
  </r>
  <r>
    <n v="82"/>
    <x v="14"/>
    <x v="0"/>
    <x v="60"/>
    <x v="0"/>
    <x v="1"/>
    <x v="1"/>
    <x v="81"/>
  </r>
  <r>
    <n v="83"/>
    <x v="53"/>
    <x v="0"/>
    <x v="61"/>
    <x v="2"/>
    <x v="1"/>
    <x v="0"/>
    <x v="82"/>
  </r>
  <r>
    <n v="84"/>
    <x v="50"/>
    <x v="0"/>
    <x v="62"/>
    <x v="0"/>
    <x v="1"/>
    <x v="2"/>
    <x v="83"/>
  </r>
  <r>
    <n v="85"/>
    <x v="32"/>
    <x v="0"/>
    <x v="63"/>
    <x v="0"/>
    <x v="0"/>
    <x v="2"/>
    <x v="84"/>
  </r>
  <r>
    <n v="86"/>
    <x v="55"/>
    <x v="0"/>
    <x v="64"/>
    <x v="0"/>
    <x v="2"/>
    <x v="1"/>
    <x v="85"/>
  </r>
  <r>
    <n v="87"/>
    <x v="48"/>
    <x v="0"/>
    <x v="65"/>
    <x v="0"/>
    <x v="2"/>
    <x v="2"/>
    <x v="86"/>
  </r>
  <r>
    <n v="88"/>
    <x v="39"/>
    <x v="1"/>
    <x v="66"/>
    <x v="0"/>
    <x v="1"/>
    <x v="0"/>
    <x v="87"/>
  </r>
  <r>
    <n v="89"/>
    <x v="1"/>
    <x v="1"/>
    <x v="67"/>
    <x v="2"/>
    <x v="2"/>
    <x v="0"/>
    <x v="88"/>
  </r>
  <r>
    <n v="90"/>
    <x v="27"/>
    <x v="0"/>
    <x v="68"/>
    <x v="1"/>
    <x v="2"/>
    <x v="0"/>
    <x v="89"/>
  </r>
  <r>
    <n v="91"/>
    <x v="56"/>
    <x v="2"/>
    <x v="69"/>
    <x v="2"/>
    <x v="1"/>
    <x v="2"/>
    <x v="90"/>
  </r>
  <r>
    <n v="92"/>
    <x v="57"/>
    <x v="1"/>
    <x v="70"/>
    <x v="0"/>
    <x v="2"/>
    <x v="1"/>
    <x v="91"/>
  </r>
  <r>
    <n v="93"/>
    <x v="3"/>
    <x v="1"/>
    <x v="71"/>
    <x v="2"/>
    <x v="0"/>
    <x v="1"/>
    <x v="92"/>
  </r>
  <r>
    <n v="94"/>
    <x v="13"/>
    <x v="2"/>
    <x v="72"/>
    <x v="1"/>
    <x v="1"/>
    <x v="0"/>
    <x v="93"/>
  </r>
  <r>
    <n v="95"/>
    <x v="36"/>
    <x v="2"/>
    <x v="73"/>
    <x v="0"/>
    <x v="2"/>
    <x v="2"/>
    <x v="94"/>
  </r>
  <r>
    <n v="96"/>
    <x v="50"/>
    <x v="0"/>
    <x v="49"/>
    <x v="0"/>
    <x v="1"/>
    <x v="2"/>
    <x v="95"/>
  </r>
  <r>
    <n v="97"/>
    <x v="58"/>
    <x v="0"/>
    <x v="53"/>
    <x v="0"/>
    <x v="2"/>
    <x v="1"/>
    <x v="96"/>
  </r>
  <r>
    <n v="98"/>
    <x v="19"/>
    <x v="2"/>
    <x v="46"/>
    <x v="0"/>
    <x v="2"/>
    <x v="0"/>
    <x v="97"/>
  </r>
  <r>
    <n v="99"/>
    <x v="19"/>
    <x v="0"/>
    <x v="74"/>
    <x v="0"/>
    <x v="1"/>
    <x v="0"/>
    <x v="98"/>
  </r>
  <r>
    <n v="100"/>
    <x v="59"/>
    <x v="1"/>
    <x v="39"/>
    <x v="2"/>
    <x v="0"/>
    <x v="0"/>
    <x v="99"/>
  </r>
  <r>
    <n v="101"/>
    <x v="60"/>
    <x v="0"/>
    <x v="75"/>
    <x v="1"/>
    <x v="0"/>
    <x v="2"/>
    <x v="100"/>
  </r>
  <r>
    <n v="102"/>
    <x v="37"/>
    <x v="0"/>
    <x v="33"/>
    <x v="1"/>
    <x v="1"/>
    <x v="0"/>
    <x v="101"/>
  </r>
  <r>
    <n v="103"/>
    <x v="12"/>
    <x v="1"/>
    <x v="76"/>
    <x v="1"/>
    <x v="1"/>
    <x v="0"/>
    <x v="102"/>
  </r>
  <r>
    <n v="104"/>
    <x v="61"/>
    <x v="0"/>
    <x v="33"/>
    <x v="2"/>
    <x v="0"/>
    <x v="2"/>
    <x v="103"/>
  </r>
  <r>
    <n v="105"/>
    <x v="33"/>
    <x v="0"/>
    <x v="26"/>
    <x v="0"/>
    <x v="1"/>
    <x v="0"/>
    <x v="104"/>
  </r>
  <r>
    <n v="106"/>
    <x v="39"/>
    <x v="1"/>
    <x v="15"/>
    <x v="2"/>
    <x v="2"/>
    <x v="2"/>
    <x v="105"/>
  </r>
  <r>
    <n v="107"/>
    <x v="16"/>
    <x v="0"/>
    <x v="77"/>
    <x v="2"/>
    <x v="1"/>
    <x v="1"/>
    <x v="106"/>
  </r>
  <r>
    <n v="108"/>
    <x v="62"/>
    <x v="2"/>
    <x v="7"/>
    <x v="2"/>
    <x v="2"/>
    <x v="2"/>
    <x v="107"/>
  </r>
  <r>
    <n v="109"/>
    <x v="61"/>
    <x v="2"/>
    <x v="78"/>
    <x v="0"/>
    <x v="1"/>
    <x v="1"/>
    <x v="108"/>
  </r>
  <r>
    <n v="110"/>
    <x v="63"/>
    <x v="1"/>
    <x v="54"/>
    <x v="2"/>
    <x v="0"/>
    <x v="0"/>
    <x v="109"/>
  </r>
  <r>
    <n v="111"/>
    <x v="60"/>
    <x v="0"/>
    <x v="19"/>
    <x v="0"/>
    <x v="2"/>
    <x v="2"/>
    <x v="110"/>
  </r>
  <r>
    <n v="112"/>
    <x v="39"/>
    <x v="2"/>
    <x v="79"/>
    <x v="0"/>
    <x v="0"/>
    <x v="1"/>
    <x v="111"/>
  </r>
  <r>
    <n v="113"/>
    <x v="19"/>
    <x v="2"/>
    <x v="74"/>
    <x v="2"/>
    <x v="0"/>
    <x v="1"/>
    <x v="112"/>
  </r>
  <r>
    <n v="114"/>
    <x v="64"/>
    <x v="1"/>
    <x v="75"/>
    <x v="0"/>
    <x v="1"/>
    <x v="2"/>
    <x v="113"/>
  </r>
  <r>
    <n v="115"/>
    <x v="65"/>
    <x v="1"/>
    <x v="26"/>
    <x v="1"/>
    <x v="2"/>
    <x v="0"/>
    <x v="114"/>
  </r>
  <r>
    <n v="116"/>
    <x v="36"/>
    <x v="2"/>
    <x v="80"/>
    <x v="1"/>
    <x v="1"/>
    <x v="0"/>
    <x v="115"/>
  </r>
  <r>
    <n v="117"/>
    <x v="35"/>
    <x v="2"/>
    <x v="50"/>
    <x v="2"/>
    <x v="2"/>
    <x v="0"/>
    <x v="116"/>
  </r>
  <r>
    <n v="118"/>
    <x v="65"/>
    <x v="0"/>
    <x v="81"/>
    <x v="2"/>
    <x v="1"/>
    <x v="2"/>
    <x v="117"/>
  </r>
  <r>
    <n v="119"/>
    <x v="66"/>
    <x v="0"/>
    <x v="54"/>
    <x v="2"/>
    <x v="0"/>
    <x v="0"/>
    <x v="118"/>
  </r>
  <r>
    <n v="120"/>
    <x v="67"/>
    <x v="1"/>
    <x v="49"/>
    <x v="0"/>
    <x v="1"/>
    <x v="2"/>
    <x v="119"/>
  </r>
  <r>
    <n v="121"/>
    <x v="11"/>
    <x v="0"/>
    <x v="82"/>
    <x v="1"/>
    <x v="0"/>
    <x v="2"/>
    <x v="120"/>
  </r>
  <r>
    <n v="122"/>
    <x v="30"/>
    <x v="0"/>
    <x v="51"/>
    <x v="2"/>
    <x v="1"/>
    <x v="2"/>
    <x v="121"/>
  </r>
  <r>
    <n v="123"/>
    <x v="37"/>
    <x v="2"/>
    <x v="83"/>
    <x v="1"/>
    <x v="0"/>
    <x v="2"/>
    <x v="122"/>
  </r>
  <r>
    <n v="124"/>
    <x v="68"/>
    <x v="1"/>
    <x v="57"/>
    <x v="1"/>
    <x v="2"/>
    <x v="2"/>
    <x v="123"/>
  </r>
  <r>
    <n v="125"/>
    <x v="11"/>
    <x v="2"/>
    <x v="46"/>
    <x v="2"/>
    <x v="1"/>
    <x v="0"/>
    <x v="124"/>
  </r>
  <r>
    <n v="126"/>
    <x v="42"/>
    <x v="0"/>
    <x v="84"/>
    <x v="2"/>
    <x v="0"/>
    <x v="0"/>
    <x v="125"/>
  </r>
  <r>
    <n v="127"/>
    <x v="29"/>
    <x v="2"/>
    <x v="44"/>
    <x v="2"/>
    <x v="0"/>
    <x v="2"/>
    <x v="126"/>
  </r>
  <r>
    <n v="128"/>
    <x v="32"/>
    <x v="2"/>
    <x v="85"/>
    <x v="1"/>
    <x v="2"/>
    <x v="1"/>
    <x v="127"/>
  </r>
  <r>
    <n v="129"/>
    <x v="4"/>
    <x v="2"/>
    <x v="11"/>
    <x v="2"/>
    <x v="1"/>
    <x v="0"/>
    <x v="128"/>
  </r>
  <r>
    <n v="130"/>
    <x v="13"/>
    <x v="2"/>
    <x v="86"/>
    <x v="1"/>
    <x v="1"/>
    <x v="1"/>
    <x v="129"/>
  </r>
  <r>
    <n v="131"/>
    <x v="69"/>
    <x v="1"/>
    <x v="28"/>
    <x v="1"/>
    <x v="1"/>
    <x v="0"/>
    <x v="130"/>
  </r>
  <r>
    <n v="132"/>
    <x v="16"/>
    <x v="0"/>
    <x v="87"/>
    <x v="2"/>
    <x v="1"/>
    <x v="0"/>
    <x v="131"/>
  </r>
  <r>
    <n v="133"/>
    <x v="11"/>
    <x v="0"/>
    <x v="88"/>
    <x v="2"/>
    <x v="2"/>
    <x v="2"/>
    <x v="132"/>
  </r>
  <r>
    <n v="134"/>
    <x v="56"/>
    <x v="2"/>
    <x v="89"/>
    <x v="2"/>
    <x v="2"/>
    <x v="0"/>
    <x v="133"/>
  </r>
  <r>
    <n v="135"/>
    <x v="69"/>
    <x v="2"/>
    <x v="2"/>
    <x v="1"/>
    <x v="2"/>
    <x v="1"/>
    <x v="134"/>
  </r>
  <r>
    <n v="136"/>
    <x v="19"/>
    <x v="1"/>
    <x v="90"/>
    <x v="1"/>
    <x v="0"/>
    <x v="1"/>
    <x v="135"/>
  </r>
  <r>
    <n v="137"/>
    <x v="47"/>
    <x v="1"/>
    <x v="91"/>
    <x v="1"/>
    <x v="1"/>
    <x v="1"/>
    <x v="136"/>
  </r>
  <r>
    <n v="138"/>
    <x v="50"/>
    <x v="0"/>
    <x v="54"/>
    <x v="0"/>
    <x v="1"/>
    <x v="1"/>
    <x v="137"/>
  </r>
  <r>
    <n v="139"/>
    <x v="27"/>
    <x v="2"/>
    <x v="62"/>
    <x v="2"/>
    <x v="1"/>
    <x v="0"/>
    <x v="138"/>
  </r>
  <r>
    <n v="140"/>
    <x v="29"/>
    <x v="1"/>
    <x v="30"/>
    <x v="1"/>
    <x v="1"/>
    <x v="2"/>
    <x v="139"/>
  </r>
  <r>
    <n v="141"/>
    <x v="17"/>
    <x v="2"/>
    <x v="34"/>
    <x v="1"/>
    <x v="0"/>
    <x v="0"/>
    <x v="140"/>
  </r>
  <r>
    <n v="142"/>
    <x v="16"/>
    <x v="0"/>
    <x v="92"/>
    <x v="1"/>
    <x v="1"/>
    <x v="0"/>
    <x v="141"/>
  </r>
  <r>
    <n v="143"/>
    <x v="68"/>
    <x v="1"/>
    <x v="38"/>
    <x v="1"/>
    <x v="2"/>
    <x v="2"/>
    <x v="142"/>
  </r>
  <r>
    <n v="144"/>
    <x v="10"/>
    <x v="2"/>
    <x v="93"/>
    <x v="1"/>
    <x v="2"/>
    <x v="2"/>
    <x v="143"/>
  </r>
  <r>
    <n v="145"/>
    <x v="26"/>
    <x v="0"/>
    <x v="94"/>
    <x v="1"/>
    <x v="0"/>
    <x v="2"/>
    <x v="144"/>
  </r>
  <r>
    <n v="146"/>
    <x v="45"/>
    <x v="2"/>
    <x v="1"/>
    <x v="1"/>
    <x v="0"/>
    <x v="0"/>
    <x v="145"/>
  </r>
  <r>
    <n v="147"/>
    <x v="10"/>
    <x v="0"/>
    <x v="95"/>
    <x v="1"/>
    <x v="1"/>
    <x v="1"/>
    <x v="146"/>
  </r>
  <r>
    <n v="148"/>
    <x v="2"/>
    <x v="2"/>
    <x v="96"/>
    <x v="1"/>
    <x v="1"/>
    <x v="1"/>
    <x v="147"/>
  </r>
  <r>
    <n v="149"/>
    <x v="70"/>
    <x v="2"/>
    <x v="75"/>
    <x v="2"/>
    <x v="2"/>
    <x v="1"/>
    <x v="148"/>
  </r>
  <r>
    <n v="150"/>
    <x v="15"/>
    <x v="1"/>
    <x v="97"/>
    <x v="2"/>
    <x v="1"/>
    <x v="2"/>
    <x v="149"/>
  </r>
  <r>
    <n v="151"/>
    <x v="69"/>
    <x v="0"/>
    <x v="98"/>
    <x v="0"/>
    <x v="0"/>
    <x v="0"/>
    <x v="150"/>
  </r>
  <r>
    <n v="152"/>
    <x v="62"/>
    <x v="0"/>
    <x v="99"/>
    <x v="1"/>
    <x v="2"/>
    <x v="2"/>
    <x v="151"/>
  </r>
  <r>
    <n v="153"/>
    <x v="16"/>
    <x v="2"/>
    <x v="80"/>
    <x v="2"/>
    <x v="0"/>
    <x v="2"/>
    <x v="152"/>
  </r>
  <r>
    <n v="154"/>
    <x v="54"/>
    <x v="2"/>
    <x v="13"/>
    <x v="2"/>
    <x v="2"/>
    <x v="1"/>
    <x v="153"/>
  </r>
  <r>
    <n v="155"/>
    <x v="3"/>
    <x v="0"/>
    <x v="100"/>
    <x v="0"/>
    <x v="0"/>
    <x v="0"/>
    <x v="154"/>
  </r>
  <r>
    <n v="156"/>
    <x v="58"/>
    <x v="1"/>
    <x v="16"/>
    <x v="1"/>
    <x v="0"/>
    <x v="2"/>
    <x v="155"/>
  </r>
  <r>
    <n v="157"/>
    <x v="71"/>
    <x v="1"/>
    <x v="101"/>
    <x v="2"/>
    <x v="0"/>
    <x v="2"/>
    <x v="156"/>
  </r>
  <r>
    <n v="158"/>
    <x v="71"/>
    <x v="1"/>
    <x v="94"/>
    <x v="2"/>
    <x v="1"/>
    <x v="0"/>
    <x v="157"/>
  </r>
  <r>
    <n v="159"/>
    <x v="72"/>
    <x v="0"/>
    <x v="44"/>
    <x v="1"/>
    <x v="2"/>
    <x v="1"/>
    <x v="158"/>
  </r>
  <r>
    <n v="160"/>
    <x v="73"/>
    <x v="0"/>
    <x v="102"/>
    <x v="2"/>
    <x v="2"/>
    <x v="2"/>
    <x v="159"/>
  </r>
  <r>
    <n v="161"/>
    <x v="58"/>
    <x v="2"/>
    <x v="16"/>
    <x v="0"/>
    <x v="0"/>
    <x v="0"/>
    <x v="160"/>
  </r>
  <r>
    <n v="162"/>
    <x v="58"/>
    <x v="1"/>
    <x v="66"/>
    <x v="0"/>
    <x v="2"/>
    <x v="2"/>
    <x v="161"/>
  </r>
  <r>
    <n v="163"/>
    <x v="31"/>
    <x v="2"/>
    <x v="103"/>
    <x v="2"/>
    <x v="0"/>
    <x v="2"/>
    <x v="162"/>
  </r>
  <r>
    <n v="164"/>
    <x v="1"/>
    <x v="0"/>
    <x v="104"/>
    <x v="1"/>
    <x v="0"/>
    <x v="0"/>
    <x v="163"/>
  </r>
  <r>
    <n v="165"/>
    <x v="8"/>
    <x v="2"/>
    <x v="19"/>
    <x v="0"/>
    <x v="1"/>
    <x v="1"/>
    <x v="164"/>
  </r>
  <r>
    <n v="166"/>
    <x v="74"/>
    <x v="1"/>
    <x v="2"/>
    <x v="0"/>
    <x v="0"/>
    <x v="0"/>
    <x v="165"/>
  </r>
  <r>
    <n v="167"/>
    <x v="66"/>
    <x v="2"/>
    <x v="99"/>
    <x v="2"/>
    <x v="2"/>
    <x v="1"/>
    <x v="166"/>
  </r>
  <r>
    <n v="168"/>
    <x v="4"/>
    <x v="0"/>
    <x v="55"/>
    <x v="2"/>
    <x v="1"/>
    <x v="0"/>
    <x v="167"/>
  </r>
  <r>
    <n v="169"/>
    <x v="55"/>
    <x v="2"/>
    <x v="105"/>
    <x v="2"/>
    <x v="1"/>
    <x v="2"/>
    <x v="168"/>
  </r>
  <r>
    <n v="170"/>
    <x v="75"/>
    <x v="1"/>
    <x v="73"/>
    <x v="1"/>
    <x v="2"/>
    <x v="0"/>
    <x v="169"/>
  </r>
  <r>
    <n v="171"/>
    <x v="14"/>
    <x v="2"/>
    <x v="1"/>
    <x v="2"/>
    <x v="2"/>
    <x v="2"/>
    <x v="170"/>
  </r>
  <r>
    <n v="172"/>
    <x v="26"/>
    <x v="2"/>
    <x v="23"/>
    <x v="0"/>
    <x v="1"/>
    <x v="1"/>
    <x v="171"/>
  </r>
  <r>
    <n v="173"/>
    <x v="14"/>
    <x v="2"/>
    <x v="27"/>
    <x v="0"/>
    <x v="2"/>
    <x v="1"/>
    <x v="172"/>
  </r>
  <r>
    <n v="174"/>
    <x v="30"/>
    <x v="1"/>
    <x v="106"/>
    <x v="2"/>
    <x v="1"/>
    <x v="1"/>
    <x v="173"/>
  </r>
  <r>
    <n v="175"/>
    <x v="1"/>
    <x v="0"/>
    <x v="21"/>
    <x v="1"/>
    <x v="2"/>
    <x v="2"/>
    <x v="174"/>
  </r>
  <r>
    <n v="176"/>
    <x v="21"/>
    <x v="0"/>
    <x v="107"/>
    <x v="2"/>
    <x v="1"/>
    <x v="2"/>
    <x v="175"/>
  </r>
  <r>
    <n v="177"/>
    <x v="74"/>
    <x v="0"/>
    <x v="65"/>
    <x v="1"/>
    <x v="0"/>
    <x v="2"/>
    <x v="176"/>
  </r>
  <r>
    <n v="178"/>
    <x v="30"/>
    <x v="1"/>
    <x v="108"/>
    <x v="1"/>
    <x v="0"/>
    <x v="0"/>
    <x v="177"/>
  </r>
  <r>
    <n v="179"/>
    <x v="63"/>
    <x v="0"/>
    <x v="87"/>
    <x v="2"/>
    <x v="2"/>
    <x v="1"/>
    <x v="178"/>
  </r>
  <r>
    <n v="180"/>
    <x v="35"/>
    <x v="0"/>
    <x v="109"/>
    <x v="0"/>
    <x v="0"/>
    <x v="2"/>
    <x v="179"/>
  </r>
  <r>
    <n v="181"/>
    <x v="73"/>
    <x v="1"/>
    <x v="110"/>
    <x v="1"/>
    <x v="0"/>
    <x v="1"/>
    <x v="180"/>
  </r>
  <r>
    <n v="182"/>
    <x v="67"/>
    <x v="1"/>
    <x v="99"/>
    <x v="1"/>
    <x v="2"/>
    <x v="2"/>
    <x v="181"/>
  </r>
  <r>
    <n v="183"/>
    <x v="59"/>
    <x v="0"/>
    <x v="72"/>
    <x v="0"/>
    <x v="1"/>
    <x v="0"/>
    <x v="182"/>
  </r>
  <r>
    <n v="184"/>
    <x v="4"/>
    <x v="1"/>
    <x v="66"/>
    <x v="1"/>
    <x v="2"/>
    <x v="0"/>
    <x v="183"/>
  </r>
  <r>
    <n v="185"/>
    <x v="35"/>
    <x v="0"/>
    <x v="6"/>
    <x v="2"/>
    <x v="2"/>
    <x v="1"/>
    <x v="184"/>
  </r>
  <r>
    <n v="186"/>
    <x v="76"/>
    <x v="0"/>
    <x v="27"/>
    <x v="0"/>
    <x v="1"/>
    <x v="2"/>
    <x v="185"/>
  </r>
  <r>
    <n v="187"/>
    <x v="21"/>
    <x v="2"/>
    <x v="63"/>
    <x v="1"/>
    <x v="1"/>
    <x v="0"/>
    <x v="186"/>
  </r>
  <r>
    <n v="188"/>
    <x v="58"/>
    <x v="0"/>
    <x v="111"/>
    <x v="1"/>
    <x v="2"/>
    <x v="1"/>
    <x v="187"/>
  </r>
  <r>
    <n v="189"/>
    <x v="77"/>
    <x v="2"/>
    <x v="20"/>
    <x v="2"/>
    <x v="0"/>
    <x v="2"/>
    <x v="188"/>
  </r>
  <r>
    <n v="190"/>
    <x v="75"/>
    <x v="1"/>
    <x v="112"/>
    <x v="2"/>
    <x v="1"/>
    <x v="1"/>
    <x v="189"/>
  </r>
  <r>
    <n v="191"/>
    <x v="67"/>
    <x v="2"/>
    <x v="79"/>
    <x v="2"/>
    <x v="1"/>
    <x v="2"/>
    <x v="190"/>
  </r>
  <r>
    <n v="192"/>
    <x v="77"/>
    <x v="1"/>
    <x v="113"/>
    <x v="0"/>
    <x v="1"/>
    <x v="0"/>
    <x v="191"/>
  </r>
  <r>
    <n v="193"/>
    <x v="17"/>
    <x v="2"/>
    <x v="16"/>
    <x v="0"/>
    <x v="1"/>
    <x v="2"/>
    <x v="192"/>
  </r>
  <r>
    <n v="194"/>
    <x v="61"/>
    <x v="0"/>
    <x v="114"/>
    <x v="0"/>
    <x v="1"/>
    <x v="0"/>
    <x v="193"/>
  </r>
  <r>
    <n v="195"/>
    <x v="5"/>
    <x v="0"/>
    <x v="47"/>
    <x v="0"/>
    <x v="2"/>
    <x v="1"/>
    <x v="194"/>
  </r>
  <r>
    <n v="196"/>
    <x v="78"/>
    <x v="0"/>
    <x v="115"/>
    <x v="0"/>
    <x v="0"/>
    <x v="2"/>
    <x v="195"/>
  </r>
  <r>
    <n v="197"/>
    <x v="79"/>
    <x v="2"/>
    <x v="116"/>
    <x v="1"/>
    <x v="2"/>
    <x v="1"/>
    <x v="196"/>
  </r>
  <r>
    <n v="198"/>
    <x v="17"/>
    <x v="2"/>
    <x v="117"/>
    <x v="2"/>
    <x v="0"/>
    <x v="2"/>
    <x v="197"/>
  </r>
  <r>
    <n v="199"/>
    <x v="54"/>
    <x v="0"/>
    <x v="103"/>
    <x v="1"/>
    <x v="2"/>
    <x v="0"/>
    <x v="198"/>
  </r>
  <r>
    <n v="200"/>
    <x v="80"/>
    <x v="2"/>
    <x v="30"/>
    <x v="2"/>
    <x v="2"/>
    <x v="0"/>
    <x v="199"/>
  </r>
  <r>
    <n v="201"/>
    <x v="59"/>
    <x v="2"/>
    <x v="118"/>
    <x v="2"/>
    <x v="1"/>
    <x v="1"/>
    <x v="200"/>
  </r>
  <r>
    <n v="202"/>
    <x v="62"/>
    <x v="0"/>
    <x v="17"/>
    <x v="2"/>
    <x v="2"/>
    <x v="1"/>
    <x v="201"/>
  </r>
  <r>
    <n v="203"/>
    <x v="48"/>
    <x v="0"/>
    <x v="95"/>
    <x v="0"/>
    <x v="0"/>
    <x v="2"/>
    <x v="202"/>
  </r>
  <r>
    <n v="204"/>
    <x v="81"/>
    <x v="1"/>
    <x v="14"/>
    <x v="2"/>
    <x v="2"/>
    <x v="0"/>
    <x v="203"/>
  </r>
  <r>
    <n v="205"/>
    <x v="5"/>
    <x v="0"/>
    <x v="116"/>
    <x v="0"/>
    <x v="1"/>
    <x v="1"/>
    <x v="204"/>
  </r>
  <r>
    <n v="206"/>
    <x v="82"/>
    <x v="1"/>
    <x v="106"/>
    <x v="2"/>
    <x v="0"/>
    <x v="2"/>
    <x v="205"/>
  </r>
  <r>
    <n v="207"/>
    <x v="53"/>
    <x v="1"/>
    <x v="119"/>
    <x v="1"/>
    <x v="1"/>
    <x v="1"/>
    <x v="206"/>
  </r>
  <r>
    <n v="208"/>
    <x v="48"/>
    <x v="1"/>
    <x v="120"/>
    <x v="2"/>
    <x v="1"/>
    <x v="2"/>
    <x v="207"/>
  </r>
  <r>
    <n v="209"/>
    <x v="79"/>
    <x v="1"/>
    <x v="56"/>
    <x v="1"/>
    <x v="2"/>
    <x v="2"/>
    <x v="208"/>
  </r>
  <r>
    <n v="210"/>
    <x v="82"/>
    <x v="1"/>
    <x v="75"/>
    <x v="2"/>
    <x v="0"/>
    <x v="1"/>
    <x v="209"/>
  </r>
  <r>
    <n v="211"/>
    <x v="69"/>
    <x v="0"/>
    <x v="121"/>
    <x v="0"/>
    <x v="1"/>
    <x v="2"/>
    <x v="210"/>
  </r>
  <r>
    <n v="212"/>
    <x v="53"/>
    <x v="1"/>
    <x v="101"/>
    <x v="2"/>
    <x v="2"/>
    <x v="1"/>
    <x v="211"/>
  </r>
  <r>
    <n v="213"/>
    <x v="54"/>
    <x v="2"/>
    <x v="103"/>
    <x v="1"/>
    <x v="2"/>
    <x v="0"/>
    <x v="212"/>
  </r>
  <r>
    <n v="214"/>
    <x v="24"/>
    <x v="0"/>
    <x v="23"/>
    <x v="2"/>
    <x v="0"/>
    <x v="2"/>
    <x v="213"/>
  </r>
  <r>
    <n v="215"/>
    <x v="83"/>
    <x v="1"/>
    <x v="109"/>
    <x v="1"/>
    <x v="1"/>
    <x v="2"/>
    <x v="214"/>
  </r>
  <r>
    <n v="216"/>
    <x v="44"/>
    <x v="0"/>
    <x v="24"/>
    <x v="1"/>
    <x v="2"/>
    <x v="0"/>
    <x v="215"/>
  </r>
  <r>
    <n v="217"/>
    <x v="3"/>
    <x v="2"/>
    <x v="116"/>
    <x v="2"/>
    <x v="1"/>
    <x v="1"/>
    <x v="216"/>
  </r>
  <r>
    <n v="218"/>
    <x v="76"/>
    <x v="1"/>
    <x v="122"/>
    <x v="1"/>
    <x v="1"/>
    <x v="0"/>
    <x v="217"/>
  </r>
  <r>
    <n v="219"/>
    <x v="32"/>
    <x v="2"/>
    <x v="1"/>
    <x v="0"/>
    <x v="1"/>
    <x v="2"/>
    <x v="218"/>
  </r>
  <r>
    <n v="220"/>
    <x v="42"/>
    <x v="1"/>
    <x v="95"/>
    <x v="2"/>
    <x v="0"/>
    <x v="2"/>
    <x v="219"/>
  </r>
  <r>
    <n v="221"/>
    <x v="33"/>
    <x v="1"/>
    <x v="48"/>
    <x v="0"/>
    <x v="1"/>
    <x v="2"/>
    <x v="220"/>
  </r>
  <r>
    <n v="222"/>
    <x v="17"/>
    <x v="1"/>
    <x v="123"/>
    <x v="0"/>
    <x v="1"/>
    <x v="1"/>
    <x v="221"/>
  </r>
  <r>
    <n v="223"/>
    <x v="12"/>
    <x v="2"/>
    <x v="7"/>
    <x v="2"/>
    <x v="1"/>
    <x v="2"/>
    <x v="222"/>
  </r>
  <r>
    <n v="224"/>
    <x v="30"/>
    <x v="1"/>
    <x v="39"/>
    <x v="0"/>
    <x v="1"/>
    <x v="2"/>
    <x v="223"/>
  </r>
  <r>
    <n v="225"/>
    <x v="35"/>
    <x v="0"/>
    <x v="87"/>
    <x v="0"/>
    <x v="2"/>
    <x v="0"/>
    <x v="224"/>
  </r>
  <r>
    <n v="226"/>
    <x v="72"/>
    <x v="2"/>
    <x v="31"/>
    <x v="1"/>
    <x v="0"/>
    <x v="1"/>
    <x v="225"/>
  </r>
  <r>
    <n v="227"/>
    <x v="84"/>
    <x v="1"/>
    <x v="124"/>
    <x v="2"/>
    <x v="0"/>
    <x v="0"/>
    <x v="226"/>
  </r>
  <r>
    <n v="228"/>
    <x v="85"/>
    <x v="1"/>
    <x v="83"/>
    <x v="0"/>
    <x v="2"/>
    <x v="2"/>
    <x v="227"/>
  </r>
  <r>
    <n v="229"/>
    <x v="8"/>
    <x v="1"/>
    <x v="125"/>
    <x v="2"/>
    <x v="1"/>
    <x v="2"/>
    <x v="228"/>
  </r>
  <r>
    <n v="230"/>
    <x v="86"/>
    <x v="0"/>
    <x v="126"/>
    <x v="0"/>
    <x v="0"/>
    <x v="2"/>
    <x v="229"/>
  </r>
  <r>
    <n v="231"/>
    <x v="87"/>
    <x v="0"/>
    <x v="35"/>
    <x v="1"/>
    <x v="2"/>
    <x v="2"/>
    <x v="230"/>
  </r>
  <r>
    <n v="232"/>
    <x v="14"/>
    <x v="1"/>
    <x v="17"/>
    <x v="0"/>
    <x v="1"/>
    <x v="1"/>
    <x v="231"/>
  </r>
  <r>
    <n v="233"/>
    <x v="15"/>
    <x v="0"/>
    <x v="127"/>
    <x v="2"/>
    <x v="0"/>
    <x v="0"/>
    <x v="232"/>
  </r>
  <r>
    <n v="234"/>
    <x v="22"/>
    <x v="0"/>
    <x v="68"/>
    <x v="1"/>
    <x v="0"/>
    <x v="1"/>
    <x v="233"/>
  </r>
  <r>
    <n v="235"/>
    <x v="75"/>
    <x v="2"/>
    <x v="126"/>
    <x v="1"/>
    <x v="1"/>
    <x v="2"/>
    <x v="234"/>
  </r>
  <r>
    <n v="236"/>
    <x v="42"/>
    <x v="2"/>
    <x v="128"/>
    <x v="2"/>
    <x v="0"/>
    <x v="1"/>
    <x v="235"/>
  </r>
  <r>
    <n v="237"/>
    <x v="49"/>
    <x v="2"/>
    <x v="70"/>
    <x v="0"/>
    <x v="2"/>
    <x v="0"/>
    <x v="236"/>
  </r>
  <r>
    <n v="238"/>
    <x v="54"/>
    <x v="0"/>
    <x v="58"/>
    <x v="0"/>
    <x v="1"/>
    <x v="0"/>
    <x v="237"/>
  </r>
  <r>
    <n v="239"/>
    <x v="86"/>
    <x v="1"/>
    <x v="121"/>
    <x v="2"/>
    <x v="0"/>
    <x v="2"/>
    <x v="238"/>
  </r>
  <r>
    <n v="240"/>
    <x v="4"/>
    <x v="0"/>
    <x v="129"/>
    <x v="1"/>
    <x v="2"/>
    <x v="0"/>
    <x v="239"/>
  </r>
  <r>
    <n v="241"/>
    <x v="67"/>
    <x v="0"/>
    <x v="130"/>
    <x v="2"/>
    <x v="0"/>
    <x v="2"/>
    <x v="240"/>
  </r>
  <r>
    <n v="242"/>
    <x v="21"/>
    <x v="1"/>
    <x v="131"/>
    <x v="0"/>
    <x v="1"/>
    <x v="1"/>
    <x v="241"/>
  </r>
  <r>
    <n v="243"/>
    <x v="44"/>
    <x v="1"/>
    <x v="93"/>
    <x v="1"/>
    <x v="2"/>
    <x v="2"/>
    <x v="242"/>
  </r>
  <r>
    <n v="244"/>
    <x v="19"/>
    <x v="0"/>
    <x v="31"/>
    <x v="2"/>
    <x v="2"/>
    <x v="0"/>
    <x v="243"/>
  </r>
  <r>
    <n v="245"/>
    <x v="52"/>
    <x v="2"/>
    <x v="38"/>
    <x v="0"/>
    <x v="1"/>
    <x v="0"/>
    <x v="244"/>
  </r>
  <r>
    <n v="246"/>
    <x v="18"/>
    <x v="0"/>
    <x v="132"/>
    <x v="2"/>
    <x v="0"/>
    <x v="1"/>
    <x v="245"/>
  </r>
  <r>
    <n v="247"/>
    <x v="34"/>
    <x v="2"/>
    <x v="119"/>
    <x v="1"/>
    <x v="1"/>
    <x v="1"/>
    <x v="246"/>
  </r>
  <r>
    <n v="248"/>
    <x v="38"/>
    <x v="0"/>
    <x v="57"/>
    <x v="0"/>
    <x v="0"/>
    <x v="1"/>
    <x v="247"/>
  </r>
  <r>
    <n v="249"/>
    <x v="21"/>
    <x v="0"/>
    <x v="73"/>
    <x v="2"/>
    <x v="2"/>
    <x v="2"/>
    <x v="248"/>
  </r>
  <r>
    <n v="250"/>
    <x v="38"/>
    <x v="2"/>
    <x v="98"/>
    <x v="0"/>
    <x v="2"/>
    <x v="2"/>
    <x v="249"/>
  </r>
  <r>
    <n v="251"/>
    <x v="20"/>
    <x v="0"/>
    <x v="96"/>
    <x v="0"/>
    <x v="2"/>
    <x v="1"/>
    <x v="250"/>
  </r>
  <r>
    <n v="252"/>
    <x v="32"/>
    <x v="2"/>
    <x v="73"/>
    <x v="1"/>
    <x v="1"/>
    <x v="0"/>
    <x v="251"/>
  </r>
  <r>
    <n v="253"/>
    <x v="26"/>
    <x v="1"/>
    <x v="67"/>
    <x v="0"/>
    <x v="0"/>
    <x v="1"/>
    <x v="252"/>
  </r>
  <r>
    <n v="254"/>
    <x v="20"/>
    <x v="1"/>
    <x v="133"/>
    <x v="2"/>
    <x v="0"/>
    <x v="1"/>
    <x v="253"/>
  </r>
  <r>
    <n v="255"/>
    <x v="16"/>
    <x v="2"/>
    <x v="23"/>
    <x v="1"/>
    <x v="1"/>
    <x v="2"/>
    <x v="254"/>
  </r>
  <r>
    <n v="256"/>
    <x v="84"/>
    <x v="0"/>
    <x v="93"/>
    <x v="2"/>
    <x v="0"/>
    <x v="2"/>
    <x v="255"/>
  </r>
  <r>
    <n v="257"/>
    <x v="87"/>
    <x v="0"/>
    <x v="105"/>
    <x v="2"/>
    <x v="0"/>
    <x v="2"/>
    <x v="256"/>
  </r>
  <r>
    <n v="258"/>
    <x v="80"/>
    <x v="0"/>
    <x v="101"/>
    <x v="0"/>
    <x v="0"/>
    <x v="1"/>
    <x v="257"/>
  </r>
  <r>
    <n v="259"/>
    <x v="14"/>
    <x v="1"/>
    <x v="88"/>
    <x v="2"/>
    <x v="2"/>
    <x v="2"/>
    <x v="258"/>
  </r>
  <r>
    <n v="260"/>
    <x v="55"/>
    <x v="0"/>
    <x v="114"/>
    <x v="2"/>
    <x v="0"/>
    <x v="2"/>
    <x v="259"/>
  </r>
  <r>
    <n v="261"/>
    <x v="82"/>
    <x v="1"/>
    <x v="85"/>
    <x v="1"/>
    <x v="0"/>
    <x v="2"/>
    <x v="260"/>
  </r>
  <r>
    <n v="262"/>
    <x v="72"/>
    <x v="1"/>
    <x v="10"/>
    <x v="2"/>
    <x v="0"/>
    <x v="1"/>
    <x v="261"/>
  </r>
  <r>
    <n v="263"/>
    <x v="71"/>
    <x v="1"/>
    <x v="13"/>
    <x v="1"/>
    <x v="0"/>
    <x v="2"/>
    <x v="262"/>
  </r>
  <r>
    <n v="264"/>
    <x v="22"/>
    <x v="0"/>
    <x v="96"/>
    <x v="2"/>
    <x v="0"/>
    <x v="2"/>
    <x v="263"/>
  </r>
  <r>
    <n v="265"/>
    <x v="88"/>
    <x v="0"/>
    <x v="32"/>
    <x v="0"/>
    <x v="0"/>
    <x v="1"/>
    <x v="264"/>
  </r>
  <r>
    <n v="266"/>
    <x v="14"/>
    <x v="0"/>
    <x v="112"/>
    <x v="2"/>
    <x v="1"/>
    <x v="2"/>
    <x v="265"/>
  </r>
  <r>
    <n v="267"/>
    <x v="89"/>
    <x v="1"/>
    <x v="31"/>
    <x v="2"/>
    <x v="2"/>
    <x v="2"/>
    <x v="266"/>
  </r>
  <r>
    <n v="268"/>
    <x v="28"/>
    <x v="1"/>
    <x v="134"/>
    <x v="0"/>
    <x v="1"/>
    <x v="2"/>
    <x v="267"/>
  </r>
  <r>
    <n v="269"/>
    <x v="66"/>
    <x v="2"/>
    <x v="107"/>
    <x v="0"/>
    <x v="0"/>
    <x v="2"/>
    <x v="268"/>
  </r>
  <r>
    <n v="270"/>
    <x v="51"/>
    <x v="1"/>
    <x v="95"/>
    <x v="1"/>
    <x v="1"/>
    <x v="0"/>
    <x v="269"/>
  </r>
  <r>
    <n v="271"/>
    <x v="90"/>
    <x v="2"/>
    <x v="43"/>
    <x v="2"/>
    <x v="1"/>
    <x v="1"/>
    <x v="270"/>
  </r>
  <r>
    <n v="272"/>
    <x v="38"/>
    <x v="0"/>
    <x v="135"/>
    <x v="1"/>
    <x v="0"/>
    <x v="2"/>
    <x v="271"/>
  </r>
  <r>
    <n v="273"/>
    <x v="91"/>
    <x v="0"/>
    <x v="22"/>
    <x v="2"/>
    <x v="2"/>
    <x v="1"/>
    <x v="272"/>
  </r>
  <r>
    <n v="274"/>
    <x v="64"/>
    <x v="2"/>
    <x v="136"/>
    <x v="2"/>
    <x v="1"/>
    <x v="2"/>
    <x v="273"/>
  </r>
  <r>
    <n v="275"/>
    <x v="51"/>
    <x v="1"/>
    <x v="106"/>
    <x v="2"/>
    <x v="2"/>
    <x v="2"/>
    <x v="274"/>
  </r>
  <r>
    <n v="276"/>
    <x v="92"/>
    <x v="2"/>
    <x v="24"/>
    <x v="2"/>
    <x v="2"/>
    <x v="2"/>
    <x v="275"/>
  </r>
  <r>
    <n v="277"/>
    <x v="58"/>
    <x v="1"/>
    <x v="137"/>
    <x v="1"/>
    <x v="0"/>
    <x v="0"/>
    <x v="276"/>
  </r>
  <r>
    <n v="278"/>
    <x v="74"/>
    <x v="1"/>
    <x v="112"/>
    <x v="1"/>
    <x v="0"/>
    <x v="2"/>
    <x v="277"/>
  </r>
  <r>
    <n v="279"/>
    <x v="93"/>
    <x v="0"/>
    <x v="68"/>
    <x v="1"/>
    <x v="0"/>
    <x v="0"/>
    <x v="278"/>
  </r>
  <r>
    <n v="280"/>
    <x v="60"/>
    <x v="1"/>
    <x v="87"/>
    <x v="2"/>
    <x v="1"/>
    <x v="0"/>
    <x v="279"/>
  </r>
  <r>
    <n v="281"/>
    <x v="53"/>
    <x v="2"/>
    <x v="100"/>
    <x v="2"/>
    <x v="0"/>
    <x v="0"/>
    <x v="280"/>
  </r>
  <r>
    <n v="282"/>
    <x v="7"/>
    <x v="0"/>
    <x v="56"/>
    <x v="2"/>
    <x v="0"/>
    <x v="2"/>
    <x v="281"/>
  </r>
  <r>
    <n v="283"/>
    <x v="16"/>
    <x v="2"/>
    <x v="103"/>
    <x v="1"/>
    <x v="2"/>
    <x v="2"/>
    <x v="282"/>
  </r>
  <r>
    <n v="284"/>
    <x v="11"/>
    <x v="0"/>
    <x v="135"/>
    <x v="1"/>
    <x v="2"/>
    <x v="0"/>
    <x v="283"/>
  </r>
  <r>
    <n v="285"/>
    <x v="81"/>
    <x v="0"/>
    <x v="102"/>
    <x v="2"/>
    <x v="1"/>
    <x v="2"/>
    <x v="284"/>
  </r>
  <r>
    <n v="286"/>
    <x v="38"/>
    <x v="0"/>
    <x v="29"/>
    <x v="1"/>
    <x v="1"/>
    <x v="0"/>
    <x v="285"/>
  </r>
  <r>
    <n v="287"/>
    <x v="4"/>
    <x v="0"/>
    <x v="120"/>
    <x v="1"/>
    <x v="1"/>
    <x v="2"/>
    <x v="286"/>
  </r>
  <r>
    <n v="288"/>
    <x v="28"/>
    <x v="0"/>
    <x v="138"/>
    <x v="1"/>
    <x v="1"/>
    <x v="2"/>
    <x v="287"/>
  </r>
  <r>
    <n v="289"/>
    <x v="69"/>
    <x v="0"/>
    <x v="139"/>
    <x v="1"/>
    <x v="0"/>
    <x v="1"/>
    <x v="288"/>
  </r>
  <r>
    <n v="290"/>
    <x v="52"/>
    <x v="0"/>
    <x v="140"/>
    <x v="1"/>
    <x v="0"/>
    <x v="1"/>
    <x v="289"/>
  </r>
  <r>
    <n v="291"/>
    <x v="19"/>
    <x v="1"/>
    <x v="119"/>
    <x v="2"/>
    <x v="2"/>
    <x v="1"/>
    <x v="290"/>
  </r>
  <r>
    <n v="292"/>
    <x v="94"/>
    <x v="0"/>
    <x v="83"/>
    <x v="2"/>
    <x v="0"/>
    <x v="1"/>
    <x v="291"/>
  </r>
  <r>
    <n v="293"/>
    <x v="63"/>
    <x v="0"/>
    <x v="23"/>
    <x v="1"/>
    <x v="2"/>
    <x v="1"/>
    <x v="292"/>
  </r>
  <r>
    <n v="294"/>
    <x v="67"/>
    <x v="2"/>
    <x v="141"/>
    <x v="1"/>
    <x v="2"/>
    <x v="2"/>
    <x v="293"/>
  </r>
  <r>
    <n v="295"/>
    <x v="64"/>
    <x v="0"/>
    <x v="110"/>
    <x v="2"/>
    <x v="1"/>
    <x v="2"/>
    <x v="294"/>
  </r>
  <r>
    <n v="296"/>
    <x v="57"/>
    <x v="0"/>
    <x v="59"/>
    <x v="0"/>
    <x v="2"/>
    <x v="2"/>
    <x v="295"/>
  </r>
  <r>
    <n v="297"/>
    <x v="45"/>
    <x v="0"/>
    <x v="142"/>
    <x v="2"/>
    <x v="0"/>
    <x v="0"/>
    <x v="296"/>
  </r>
  <r>
    <n v="298"/>
    <x v="12"/>
    <x v="2"/>
    <x v="40"/>
    <x v="2"/>
    <x v="0"/>
    <x v="2"/>
    <x v="297"/>
  </r>
  <r>
    <n v="299"/>
    <x v="58"/>
    <x v="2"/>
    <x v="138"/>
    <x v="2"/>
    <x v="0"/>
    <x v="0"/>
    <x v="298"/>
  </r>
  <r>
    <n v="300"/>
    <x v="25"/>
    <x v="1"/>
    <x v="1"/>
    <x v="1"/>
    <x v="1"/>
    <x v="2"/>
    <x v="299"/>
  </r>
  <r>
    <n v="301"/>
    <x v="48"/>
    <x v="0"/>
    <x v="13"/>
    <x v="2"/>
    <x v="2"/>
    <x v="2"/>
    <x v="300"/>
  </r>
  <r>
    <n v="302"/>
    <x v="6"/>
    <x v="2"/>
    <x v="19"/>
    <x v="1"/>
    <x v="0"/>
    <x v="1"/>
    <x v="301"/>
  </r>
  <r>
    <n v="303"/>
    <x v="67"/>
    <x v="1"/>
    <x v="143"/>
    <x v="0"/>
    <x v="2"/>
    <x v="0"/>
    <x v="302"/>
  </r>
  <r>
    <n v="304"/>
    <x v="5"/>
    <x v="1"/>
    <x v="39"/>
    <x v="1"/>
    <x v="0"/>
    <x v="0"/>
    <x v="303"/>
  </r>
  <r>
    <n v="305"/>
    <x v="52"/>
    <x v="2"/>
    <x v="144"/>
    <x v="0"/>
    <x v="0"/>
    <x v="0"/>
    <x v="304"/>
  </r>
  <r>
    <n v="306"/>
    <x v="22"/>
    <x v="0"/>
    <x v="145"/>
    <x v="2"/>
    <x v="1"/>
    <x v="0"/>
    <x v="305"/>
  </r>
  <r>
    <n v="307"/>
    <x v="8"/>
    <x v="1"/>
    <x v="29"/>
    <x v="0"/>
    <x v="0"/>
    <x v="0"/>
    <x v="306"/>
  </r>
  <r>
    <n v="308"/>
    <x v="87"/>
    <x v="2"/>
    <x v="146"/>
    <x v="0"/>
    <x v="0"/>
    <x v="2"/>
    <x v="307"/>
  </r>
  <r>
    <n v="309"/>
    <x v="34"/>
    <x v="0"/>
    <x v="37"/>
    <x v="0"/>
    <x v="2"/>
    <x v="2"/>
    <x v="308"/>
  </r>
  <r>
    <n v="310"/>
    <x v="79"/>
    <x v="0"/>
    <x v="138"/>
    <x v="0"/>
    <x v="2"/>
    <x v="1"/>
    <x v="309"/>
  </r>
  <r>
    <n v="311"/>
    <x v="83"/>
    <x v="0"/>
    <x v="74"/>
    <x v="1"/>
    <x v="0"/>
    <x v="2"/>
    <x v="310"/>
  </r>
  <r>
    <n v="312"/>
    <x v="87"/>
    <x v="2"/>
    <x v="20"/>
    <x v="0"/>
    <x v="0"/>
    <x v="2"/>
    <x v="311"/>
  </r>
  <r>
    <n v="313"/>
    <x v="81"/>
    <x v="2"/>
    <x v="106"/>
    <x v="2"/>
    <x v="2"/>
    <x v="0"/>
    <x v="312"/>
  </r>
  <r>
    <n v="314"/>
    <x v="36"/>
    <x v="2"/>
    <x v="21"/>
    <x v="0"/>
    <x v="0"/>
    <x v="1"/>
    <x v="313"/>
  </r>
  <r>
    <n v="315"/>
    <x v="95"/>
    <x v="1"/>
    <x v="6"/>
    <x v="1"/>
    <x v="0"/>
    <x v="1"/>
    <x v="314"/>
  </r>
  <r>
    <n v="316"/>
    <x v="17"/>
    <x v="2"/>
    <x v="82"/>
    <x v="2"/>
    <x v="1"/>
    <x v="2"/>
    <x v="315"/>
  </r>
  <r>
    <n v="317"/>
    <x v="49"/>
    <x v="2"/>
    <x v="80"/>
    <x v="2"/>
    <x v="2"/>
    <x v="0"/>
    <x v="316"/>
  </r>
  <r>
    <n v="318"/>
    <x v="74"/>
    <x v="1"/>
    <x v="114"/>
    <x v="0"/>
    <x v="0"/>
    <x v="2"/>
    <x v="317"/>
  </r>
  <r>
    <n v="319"/>
    <x v="58"/>
    <x v="1"/>
    <x v="20"/>
    <x v="0"/>
    <x v="2"/>
    <x v="0"/>
    <x v="318"/>
  </r>
  <r>
    <n v="320"/>
    <x v="10"/>
    <x v="1"/>
    <x v="134"/>
    <x v="0"/>
    <x v="0"/>
    <x v="0"/>
    <x v="319"/>
  </r>
  <r>
    <n v="321"/>
    <x v="96"/>
    <x v="0"/>
    <x v="0"/>
    <x v="0"/>
    <x v="2"/>
    <x v="0"/>
    <x v="320"/>
  </r>
  <r>
    <n v="322"/>
    <x v="88"/>
    <x v="1"/>
    <x v="147"/>
    <x v="1"/>
    <x v="1"/>
    <x v="1"/>
    <x v="321"/>
  </r>
  <r>
    <n v="323"/>
    <x v="63"/>
    <x v="0"/>
    <x v="32"/>
    <x v="1"/>
    <x v="0"/>
    <x v="1"/>
    <x v="322"/>
  </r>
  <r>
    <n v="324"/>
    <x v="62"/>
    <x v="1"/>
    <x v="86"/>
    <x v="0"/>
    <x v="0"/>
    <x v="2"/>
    <x v="323"/>
  </r>
  <r>
    <n v="325"/>
    <x v="0"/>
    <x v="1"/>
    <x v="148"/>
    <x v="1"/>
    <x v="2"/>
    <x v="2"/>
    <x v="324"/>
  </r>
  <r>
    <n v="326"/>
    <x v="62"/>
    <x v="2"/>
    <x v="149"/>
    <x v="0"/>
    <x v="0"/>
    <x v="2"/>
    <x v="325"/>
  </r>
  <r>
    <n v="327"/>
    <x v="5"/>
    <x v="0"/>
    <x v="71"/>
    <x v="0"/>
    <x v="1"/>
    <x v="2"/>
    <x v="326"/>
  </r>
  <r>
    <n v="328"/>
    <x v="73"/>
    <x v="1"/>
    <x v="32"/>
    <x v="2"/>
    <x v="2"/>
    <x v="0"/>
    <x v="327"/>
  </r>
  <r>
    <n v="329"/>
    <x v="32"/>
    <x v="0"/>
    <x v="23"/>
    <x v="0"/>
    <x v="1"/>
    <x v="1"/>
    <x v="328"/>
  </r>
  <r>
    <n v="330"/>
    <x v="13"/>
    <x v="1"/>
    <x v="150"/>
    <x v="0"/>
    <x v="2"/>
    <x v="1"/>
    <x v="329"/>
  </r>
  <r>
    <n v="331"/>
    <x v="14"/>
    <x v="1"/>
    <x v="150"/>
    <x v="2"/>
    <x v="0"/>
    <x v="2"/>
    <x v="330"/>
  </r>
  <r>
    <n v="332"/>
    <x v="40"/>
    <x v="1"/>
    <x v="73"/>
    <x v="0"/>
    <x v="0"/>
    <x v="1"/>
    <x v="331"/>
  </r>
  <r>
    <n v="333"/>
    <x v="34"/>
    <x v="1"/>
    <x v="119"/>
    <x v="0"/>
    <x v="0"/>
    <x v="1"/>
    <x v="332"/>
  </r>
  <r>
    <n v="334"/>
    <x v="3"/>
    <x v="0"/>
    <x v="53"/>
    <x v="1"/>
    <x v="1"/>
    <x v="2"/>
    <x v="333"/>
  </r>
  <r>
    <n v="335"/>
    <x v="97"/>
    <x v="2"/>
    <x v="110"/>
    <x v="2"/>
    <x v="0"/>
    <x v="1"/>
    <x v="334"/>
  </r>
  <r>
    <n v="336"/>
    <x v="32"/>
    <x v="2"/>
    <x v="151"/>
    <x v="2"/>
    <x v="2"/>
    <x v="1"/>
    <x v="335"/>
  </r>
  <r>
    <n v="337"/>
    <x v="29"/>
    <x v="2"/>
    <x v="52"/>
    <x v="0"/>
    <x v="0"/>
    <x v="1"/>
    <x v="336"/>
  </r>
  <r>
    <n v="338"/>
    <x v="49"/>
    <x v="2"/>
    <x v="41"/>
    <x v="0"/>
    <x v="2"/>
    <x v="2"/>
    <x v="337"/>
  </r>
  <r>
    <n v="339"/>
    <x v="70"/>
    <x v="0"/>
    <x v="2"/>
    <x v="0"/>
    <x v="2"/>
    <x v="0"/>
    <x v="338"/>
  </r>
  <r>
    <n v="340"/>
    <x v="77"/>
    <x v="2"/>
    <x v="124"/>
    <x v="0"/>
    <x v="0"/>
    <x v="0"/>
    <x v="339"/>
  </r>
  <r>
    <n v="341"/>
    <x v="5"/>
    <x v="1"/>
    <x v="13"/>
    <x v="2"/>
    <x v="0"/>
    <x v="2"/>
    <x v="340"/>
  </r>
  <r>
    <n v="342"/>
    <x v="75"/>
    <x v="2"/>
    <x v="52"/>
    <x v="1"/>
    <x v="2"/>
    <x v="1"/>
    <x v="341"/>
  </r>
  <r>
    <n v="343"/>
    <x v="71"/>
    <x v="1"/>
    <x v="103"/>
    <x v="0"/>
    <x v="0"/>
    <x v="0"/>
    <x v="342"/>
  </r>
  <r>
    <n v="344"/>
    <x v="18"/>
    <x v="1"/>
    <x v="58"/>
    <x v="0"/>
    <x v="2"/>
    <x v="0"/>
    <x v="343"/>
  </r>
  <r>
    <n v="345"/>
    <x v="69"/>
    <x v="0"/>
    <x v="76"/>
    <x v="1"/>
    <x v="1"/>
    <x v="0"/>
    <x v="344"/>
  </r>
  <r>
    <n v="346"/>
    <x v="62"/>
    <x v="2"/>
    <x v="152"/>
    <x v="2"/>
    <x v="0"/>
    <x v="2"/>
    <x v="345"/>
  </r>
  <r>
    <n v="347"/>
    <x v="7"/>
    <x v="1"/>
    <x v="44"/>
    <x v="0"/>
    <x v="0"/>
    <x v="0"/>
    <x v="346"/>
  </r>
  <r>
    <n v="348"/>
    <x v="42"/>
    <x v="2"/>
    <x v="153"/>
    <x v="0"/>
    <x v="1"/>
    <x v="0"/>
    <x v="347"/>
  </r>
  <r>
    <n v="349"/>
    <x v="10"/>
    <x v="2"/>
    <x v="14"/>
    <x v="2"/>
    <x v="0"/>
    <x v="1"/>
    <x v="348"/>
  </r>
  <r>
    <n v="350"/>
    <x v="20"/>
    <x v="0"/>
    <x v="36"/>
    <x v="0"/>
    <x v="2"/>
    <x v="0"/>
    <x v="349"/>
  </r>
  <r>
    <n v="351"/>
    <x v="63"/>
    <x v="2"/>
    <x v="98"/>
    <x v="2"/>
    <x v="0"/>
    <x v="0"/>
    <x v="350"/>
  </r>
  <r>
    <n v="352"/>
    <x v="8"/>
    <x v="1"/>
    <x v="42"/>
    <x v="2"/>
    <x v="0"/>
    <x v="0"/>
    <x v="351"/>
  </r>
  <r>
    <n v="353"/>
    <x v="42"/>
    <x v="1"/>
    <x v="152"/>
    <x v="0"/>
    <x v="1"/>
    <x v="2"/>
    <x v="352"/>
  </r>
  <r>
    <n v="354"/>
    <x v="97"/>
    <x v="0"/>
    <x v="154"/>
    <x v="2"/>
    <x v="0"/>
    <x v="2"/>
    <x v="353"/>
  </r>
  <r>
    <n v="355"/>
    <x v="78"/>
    <x v="2"/>
    <x v="121"/>
    <x v="1"/>
    <x v="1"/>
    <x v="2"/>
    <x v="354"/>
  </r>
  <r>
    <n v="356"/>
    <x v="39"/>
    <x v="1"/>
    <x v="89"/>
    <x v="1"/>
    <x v="1"/>
    <x v="0"/>
    <x v="355"/>
  </r>
  <r>
    <n v="357"/>
    <x v="98"/>
    <x v="2"/>
    <x v="131"/>
    <x v="0"/>
    <x v="1"/>
    <x v="0"/>
    <x v="356"/>
  </r>
  <r>
    <n v="358"/>
    <x v="51"/>
    <x v="2"/>
    <x v="102"/>
    <x v="2"/>
    <x v="1"/>
    <x v="1"/>
    <x v="357"/>
  </r>
  <r>
    <n v="359"/>
    <x v="60"/>
    <x v="1"/>
    <x v="68"/>
    <x v="1"/>
    <x v="1"/>
    <x v="1"/>
    <x v="358"/>
  </r>
  <r>
    <n v="360"/>
    <x v="81"/>
    <x v="1"/>
    <x v="111"/>
    <x v="1"/>
    <x v="2"/>
    <x v="0"/>
    <x v="359"/>
  </r>
  <r>
    <n v="361"/>
    <x v="93"/>
    <x v="1"/>
    <x v="98"/>
    <x v="0"/>
    <x v="2"/>
    <x v="2"/>
    <x v="360"/>
  </r>
  <r>
    <n v="362"/>
    <x v="10"/>
    <x v="0"/>
    <x v="11"/>
    <x v="2"/>
    <x v="0"/>
    <x v="2"/>
    <x v="361"/>
  </r>
  <r>
    <n v="363"/>
    <x v="31"/>
    <x v="0"/>
    <x v="11"/>
    <x v="1"/>
    <x v="0"/>
    <x v="0"/>
    <x v="362"/>
  </r>
  <r>
    <n v="364"/>
    <x v="88"/>
    <x v="1"/>
    <x v="113"/>
    <x v="0"/>
    <x v="0"/>
    <x v="0"/>
    <x v="363"/>
  </r>
  <r>
    <n v="365"/>
    <x v="95"/>
    <x v="0"/>
    <x v="81"/>
    <x v="0"/>
    <x v="0"/>
    <x v="2"/>
    <x v="364"/>
  </r>
  <r>
    <n v="366"/>
    <x v="77"/>
    <x v="1"/>
    <x v="30"/>
    <x v="1"/>
    <x v="1"/>
    <x v="0"/>
    <x v="365"/>
  </r>
  <r>
    <n v="367"/>
    <x v="76"/>
    <x v="1"/>
    <x v="142"/>
    <x v="1"/>
    <x v="2"/>
    <x v="0"/>
    <x v="366"/>
  </r>
  <r>
    <n v="368"/>
    <x v="52"/>
    <x v="1"/>
    <x v="150"/>
    <x v="1"/>
    <x v="2"/>
    <x v="0"/>
    <x v="367"/>
  </r>
  <r>
    <n v="369"/>
    <x v="87"/>
    <x v="1"/>
    <x v="7"/>
    <x v="1"/>
    <x v="1"/>
    <x v="0"/>
    <x v="368"/>
  </r>
  <r>
    <n v="370"/>
    <x v="57"/>
    <x v="0"/>
    <x v="99"/>
    <x v="1"/>
    <x v="0"/>
    <x v="0"/>
    <x v="369"/>
  </r>
  <r>
    <n v="371"/>
    <x v="14"/>
    <x v="0"/>
    <x v="23"/>
    <x v="1"/>
    <x v="2"/>
    <x v="0"/>
    <x v="370"/>
  </r>
  <r>
    <n v="372"/>
    <x v="79"/>
    <x v="2"/>
    <x v="15"/>
    <x v="2"/>
    <x v="0"/>
    <x v="0"/>
    <x v="371"/>
  </r>
  <r>
    <n v="373"/>
    <x v="32"/>
    <x v="1"/>
    <x v="50"/>
    <x v="2"/>
    <x v="2"/>
    <x v="2"/>
    <x v="372"/>
  </r>
  <r>
    <n v="374"/>
    <x v="44"/>
    <x v="0"/>
    <x v="155"/>
    <x v="1"/>
    <x v="2"/>
    <x v="0"/>
    <x v="373"/>
  </r>
  <r>
    <n v="375"/>
    <x v="28"/>
    <x v="1"/>
    <x v="122"/>
    <x v="1"/>
    <x v="0"/>
    <x v="0"/>
    <x v="374"/>
  </r>
  <r>
    <n v="376"/>
    <x v="88"/>
    <x v="1"/>
    <x v="156"/>
    <x v="0"/>
    <x v="2"/>
    <x v="2"/>
    <x v="375"/>
  </r>
  <r>
    <n v="377"/>
    <x v="62"/>
    <x v="0"/>
    <x v="94"/>
    <x v="0"/>
    <x v="2"/>
    <x v="1"/>
    <x v="376"/>
  </r>
  <r>
    <n v="378"/>
    <x v="70"/>
    <x v="0"/>
    <x v="144"/>
    <x v="2"/>
    <x v="0"/>
    <x v="0"/>
    <x v="377"/>
  </r>
  <r>
    <n v="379"/>
    <x v="74"/>
    <x v="2"/>
    <x v="95"/>
    <x v="2"/>
    <x v="0"/>
    <x v="2"/>
    <x v="378"/>
  </r>
  <r>
    <n v="380"/>
    <x v="26"/>
    <x v="2"/>
    <x v="81"/>
    <x v="0"/>
    <x v="1"/>
    <x v="2"/>
    <x v="379"/>
  </r>
  <r>
    <n v="381"/>
    <x v="60"/>
    <x v="2"/>
    <x v="109"/>
    <x v="2"/>
    <x v="2"/>
    <x v="0"/>
    <x v="380"/>
  </r>
  <r>
    <n v="382"/>
    <x v="14"/>
    <x v="2"/>
    <x v="123"/>
    <x v="0"/>
    <x v="0"/>
    <x v="2"/>
    <x v="381"/>
  </r>
  <r>
    <n v="383"/>
    <x v="30"/>
    <x v="1"/>
    <x v="134"/>
    <x v="0"/>
    <x v="1"/>
    <x v="0"/>
    <x v="382"/>
  </r>
  <r>
    <n v="384"/>
    <x v="56"/>
    <x v="2"/>
    <x v="128"/>
    <x v="1"/>
    <x v="1"/>
    <x v="1"/>
    <x v="383"/>
  </r>
  <r>
    <n v="385"/>
    <x v="64"/>
    <x v="0"/>
    <x v="156"/>
    <x v="1"/>
    <x v="2"/>
    <x v="1"/>
    <x v="384"/>
  </r>
  <r>
    <n v="386"/>
    <x v="23"/>
    <x v="0"/>
    <x v="96"/>
    <x v="2"/>
    <x v="2"/>
    <x v="0"/>
    <x v="385"/>
  </r>
  <r>
    <n v="387"/>
    <x v="2"/>
    <x v="1"/>
    <x v="40"/>
    <x v="2"/>
    <x v="1"/>
    <x v="2"/>
    <x v="386"/>
  </r>
  <r>
    <n v="388"/>
    <x v="96"/>
    <x v="0"/>
    <x v="68"/>
    <x v="1"/>
    <x v="0"/>
    <x v="1"/>
    <x v="387"/>
  </r>
  <r>
    <n v="389"/>
    <x v="33"/>
    <x v="0"/>
    <x v="51"/>
    <x v="1"/>
    <x v="0"/>
    <x v="1"/>
    <x v="388"/>
  </r>
  <r>
    <n v="390"/>
    <x v="61"/>
    <x v="0"/>
    <x v="44"/>
    <x v="2"/>
    <x v="1"/>
    <x v="1"/>
    <x v="389"/>
  </r>
  <r>
    <n v="391"/>
    <x v="40"/>
    <x v="1"/>
    <x v="105"/>
    <x v="1"/>
    <x v="0"/>
    <x v="0"/>
    <x v="390"/>
  </r>
  <r>
    <n v="392"/>
    <x v="18"/>
    <x v="1"/>
    <x v="10"/>
    <x v="0"/>
    <x v="1"/>
    <x v="1"/>
    <x v="391"/>
  </r>
  <r>
    <n v="393"/>
    <x v="34"/>
    <x v="2"/>
    <x v="82"/>
    <x v="2"/>
    <x v="1"/>
    <x v="0"/>
    <x v="392"/>
  </r>
  <r>
    <n v="394"/>
    <x v="90"/>
    <x v="1"/>
    <x v="129"/>
    <x v="1"/>
    <x v="2"/>
    <x v="2"/>
    <x v="393"/>
  </r>
  <r>
    <n v="395"/>
    <x v="18"/>
    <x v="1"/>
    <x v="54"/>
    <x v="2"/>
    <x v="1"/>
    <x v="1"/>
    <x v="394"/>
  </r>
  <r>
    <n v="396"/>
    <x v="2"/>
    <x v="2"/>
    <x v="80"/>
    <x v="2"/>
    <x v="1"/>
    <x v="0"/>
    <x v="395"/>
  </r>
  <r>
    <n v="397"/>
    <x v="37"/>
    <x v="1"/>
    <x v="51"/>
    <x v="2"/>
    <x v="2"/>
    <x v="0"/>
    <x v="396"/>
  </r>
  <r>
    <n v="398"/>
    <x v="25"/>
    <x v="0"/>
    <x v="157"/>
    <x v="2"/>
    <x v="0"/>
    <x v="2"/>
    <x v="397"/>
  </r>
  <r>
    <n v="399"/>
    <x v="98"/>
    <x v="1"/>
    <x v="158"/>
    <x v="2"/>
    <x v="1"/>
    <x v="2"/>
    <x v="398"/>
  </r>
  <r>
    <n v="400"/>
    <x v="63"/>
    <x v="2"/>
    <x v="159"/>
    <x v="0"/>
    <x v="2"/>
    <x v="2"/>
    <x v="399"/>
  </r>
  <r>
    <n v="401"/>
    <x v="74"/>
    <x v="1"/>
    <x v="91"/>
    <x v="1"/>
    <x v="1"/>
    <x v="1"/>
    <x v="400"/>
  </r>
  <r>
    <n v="402"/>
    <x v="70"/>
    <x v="1"/>
    <x v="20"/>
    <x v="1"/>
    <x v="0"/>
    <x v="2"/>
    <x v="401"/>
  </r>
  <r>
    <n v="403"/>
    <x v="1"/>
    <x v="2"/>
    <x v="160"/>
    <x v="2"/>
    <x v="0"/>
    <x v="2"/>
    <x v="402"/>
  </r>
  <r>
    <n v="404"/>
    <x v="87"/>
    <x v="0"/>
    <x v="67"/>
    <x v="2"/>
    <x v="0"/>
    <x v="1"/>
    <x v="403"/>
  </r>
  <r>
    <n v="405"/>
    <x v="75"/>
    <x v="1"/>
    <x v="125"/>
    <x v="1"/>
    <x v="0"/>
    <x v="0"/>
    <x v="404"/>
  </r>
  <r>
    <n v="406"/>
    <x v="22"/>
    <x v="1"/>
    <x v="61"/>
    <x v="0"/>
    <x v="2"/>
    <x v="0"/>
    <x v="405"/>
  </r>
  <r>
    <n v="407"/>
    <x v="3"/>
    <x v="1"/>
    <x v="147"/>
    <x v="1"/>
    <x v="1"/>
    <x v="0"/>
    <x v="406"/>
  </r>
  <r>
    <n v="408"/>
    <x v="10"/>
    <x v="0"/>
    <x v="62"/>
    <x v="1"/>
    <x v="0"/>
    <x v="0"/>
    <x v="407"/>
  </r>
  <r>
    <n v="409"/>
    <x v="92"/>
    <x v="1"/>
    <x v="54"/>
    <x v="2"/>
    <x v="0"/>
    <x v="1"/>
    <x v="408"/>
  </r>
  <r>
    <n v="410"/>
    <x v="44"/>
    <x v="2"/>
    <x v="154"/>
    <x v="2"/>
    <x v="2"/>
    <x v="0"/>
    <x v="409"/>
  </r>
  <r>
    <n v="411"/>
    <x v="11"/>
    <x v="1"/>
    <x v="161"/>
    <x v="0"/>
    <x v="0"/>
    <x v="0"/>
    <x v="410"/>
  </r>
  <r>
    <n v="412"/>
    <x v="62"/>
    <x v="1"/>
    <x v="72"/>
    <x v="1"/>
    <x v="0"/>
    <x v="1"/>
    <x v="411"/>
  </r>
  <r>
    <n v="413"/>
    <x v="9"/>
    <x v="0"/>
    <x v="95"/>
    <x v="1"/>
    <x v="0"/>
    <x v="0"/>
    <x v="412"/>
  </r>
  <r>
    <n v="414"/>
    <x v="36"/>
    <x v="0"/>
    <x v="83"/>
    <x v="0"/>
    <x v="2"/>
    <x v="1"/>
    <x v="413"/>
  </r>
  <r>
    <n v="415"/>
    <x v="40"/>
    <x v="0"/>
    <x v="144"/>
    <x v="0"/>
    <x v="1"/>
    <x v="1"/>
    <x v="414"/>
  </r>
  <r>
    <n v="416"/>
    <x v="15"/>
    <x v="2"/>
    <x v="102"/>
    <x v="0"/>
    <x v="2"/>
    <x v="1"/>
    <x v="415"/>
  </r>
  <r>
    <n v="417"/>
    <x v="90"/>
    <x v="2"/>
    <x v="51"/>
    <x v="0"/>
    <x v="1"/>
    <x v="0"/>
    <x v="416"/>
  </r>
  <r>
    <n v="418"/>
    <x v="18"/>
    <x v="1"/>
    <x v="37"/>
    <x v="1"/>
    <x v="2"/>
    <x v="2"/>
    <x v="417"/>
  </r>
  <r>
    <n v="419"/>
    <x v="69"/>
    <x v="1"/>
    <x v="145"/>
    <x v="0"/>
    <x v="0"/>
    <x v="0"/>
    <x v="418"/>
  </r>
  <r>
    <n v="420"/>
    <x v="58"/>
    <x v="0"/>
    <x v="104"/>
    <x v="2"/>
    <x v="1"/>
    <x v="1"/>
    <x v="419"/>
  </r>
  <r>
    <n v="421"/>
    <x v="37"/>
    <x v="1"/>
    <x v="80"/>
    <x v="1"/>
    <x v="0"/>
    <x v="0"/>
    <x v="420"/>
  </r>
  <r>
    <n v="422"/>
    <x v="31"/>
    <x v="1"/>
    <x v="61"/>
    <x v="1"/>
    <x v="2"/>
    <x v="2"/>
    <x v="421"/>
  </r>
  <r>
    <n v="423"/>
    <x v="65"/>
    <x v="2"/>
    <x v="118"/>
    <x v="1"/>
    <x v="1"/>
    <x v="1"/>
    <x v="422"/>
  </r>
  <r>
    <n v="424"/>
    <x v="60"/>
    <x v="0"/>
    <x v="57"/>
    <x v="0"/>
    <x v="2"/>
    <x v="0"/>
    <x v="423"/>
  </r>
  <r>
    <n v="425"/>
    <x v="86"/>
    <x v="1"/>
    <x v="10"/>
    <x v="0"/>
    <x v="2"/>
    <x v="0"/>
    <x v="424"/>
  </r>
  <r>
    <n v="426"/>
    <x v="41"/>
    <x v="1"/>
    <x v="5"/>
    <x v="1"/>
    <x v="1"/>
    <x v="2"/>
    <x v="425"/>
  </r>
  <r>
    <n v="427"/>
    <x v="3"/>
    <x v="0"/>
    <x v="97"/>
    <x v="2"/>
    <x v="1"/>
    <x v="2"/>
    <x v="426"/>
  </r>
  <r>
    <n v="428"/>
    <x v="69"/>
    <x v="0"/>
    <x v="162"/>
    <x v="1"/>
    <x v="1"/>
    <x v="0"/>
    <x v="427"/>
  </r>
  <r>
    <n v="429"/>
    <x v="0"/>
    <x v="1"/>
    <x v="29"/>
    <x v="0"/>
    <x v="2"/>
    <x v="0"/>
    <x v="428"/>
  </r>
  <r>
    <n v="430"/>
    <x v="13"/>
    <x v="0"/>
    <x v="163"/>
    <x v="2"/>
    <x v="0"/>
    <x v="1"/>
    <x v="429"/>
  </r>
  <r>
    <n v="431"/>
    <x v="72"/>
    <x v="1"/>
    <x v="164"/>
    <x v="2"/>
    <x v="1"/>
    <x v="0"/>
    <x v="430"/>
  </r>
  <r>
    <n v="432"/>
    <x v="58"/>
    <x v="2"/>
    <x v="10"/>
    <x v="2"/>
    <x v="2"/>
    <x v="1"/>
    <x v="431"/>
  </r>
  <r>
    <n v="433"/>
    <x v="78"/>
    <x v="2"/>
    <x v="13"/>
    <x v="0"/>
    <x v="0"/>
    <x v="1"/>
    <x v="432"/>
  </r>
  <r>
    <n v="434"/>
    <x v="24"/>
    <x v="1"/>
    <x v="165"/>
    <x v="2"/>
    <x v="0"/>
    <x v="2"/>
    <x v="433"/>
  </r>
  <r>
    <n v="435"/>
    <x v="70"/>
    <x v="0"/>
    <x v="74"/>
    <x v="2"/>
    <x v="2"/>
    <x v="0"/>
    <x v="434"/>
  </r>
  <r>
    <n v="436"/>
    <x v="63"/>
    <x v="0"/>
    <x v="93"/>
    <x v="2"/>
    <x v="0"/>
    <x v="0"/>
    <x v="435"/>
  </r>
  <r>
    <n v="437"/>
    <x v="81"/>
    <x v="2"/>
    <x v="19"/>
    <x v="0"/>
    <x v="0"/>
    <x v="1"/>
    <x v="436"/>
  </r>
  <r>
    <n v="438"/>
    <x v="22"/>
    <x v="1"/>
    <x v="79"/>
    <x v="0"/>
    <x v="1"/>
    <x v="0"/>
    <x v="437"/>
  </r>
  <r>
    <n v="439"/>
    <x v="16"/>
    <x v="1"/>
    <x v="154"/>
    <x v="2"/>
    <x v="2"/>
    <x v="0"/>
    <x v="438"/>
  </r>
  <r>
    <n v="440"/>
    <x v="80"/>
    <x v="0"/>
    <x v="114"/>
    <x v="2"/>
    <x v="1"/>
    <x v="0"/>
    <x v="439"/>
  </r>
  <r>
    <n v="441"/>
    <x v="32"/>
    <x v="0"/>
    <x v="93"/>
    <x v="1"/>
    <x v="2"/>
    <x v="1"/>
    <x v="440"/>
  </r>
  <r>
    <n v="442"/>
    <x v="32"/>
    <x v="0"/>
    <x v="58"/>
    <x v="0"/>
    <x v="0"/>
    <x v="2"/>
    <x v="441"/>
  </r>
  <r>
    <n v="443"/>
    <x v="94"/>
    <x v="2"/>
    <x v="33"/>
    <x v="1"/>
    <x v="1"/>
    <x v="1"/>
    <x v="442"/>
  </r>
  <r>
    <n v="444"/>
    <x v="16"/>
    <x v="1"/>
    <x v="131"/>
    <x v="1"/>
    <x v="2"/>
    <x v="2"/>
    <x v="443"/>
  </r>
  <r>
    <n v="445"/>
    <x v="38"/>
    <x v="1"/>
    <x v="37"/>
    <x v="0"/>
    <x v="0"/>
    <x v="2"/>
    <x v="444"/>
  </r>
  <r>
    <n v="446"/>
    <x v="23"/>
    <x v="2"/>
    <x v="14"/>
    <x v="0"/>
    <x v="2"/>
    <x v="1"/>
    <x v="445"/>
  </r>
  <r>
    <n v="447"/>
    <x v="27"/>
    <x v="0"/>
    <x v="80"/>
    <x v="1"/>
    <x v="0"/>
    <x v="1"/>
    <x v="446"/>
  </r>
  <r>
    <n v="448"/>
    <x v="53"/>
    <x v="1"/>
    <x v="122"/>
    <x v="0"/>
    <x v="2"/>
    <x v="2"/>
    <x v="447"/>
  </r>
  <r>
    <n v="449"/>
    <x v="40"/>
    <x v="1"/>
    <x v="46"/>
    <x v="0"/>
    <x v="2"/>
    <x v="0"/>
    <x v="448"/>
  </r>
  <r>
    <n v="450"/>
    <x v="67"/>
    <x v="1"/>
    <x v="87"/>
    <x v="1"/>
    <x v="0"/>
    <x v="1"/>
    <x v="449"/>
  </r>
  <r>
    <n v="451"/>
    <x v="99"/>
    <x v="1"/>
    <x v="23"/>
    <x v="1"/>
    <x v="1"/>
    <x v="2"/>
    <x v="450"/>
  </r>
  <r>
    <n v="452"/>
    <x v="1"/>
    <x v="0"/>
    <x v="166"/>
    <x v="1"/>
    <x v="1"/>
    <x v="0"/>
    <x v="451"/>
  </r>
  <r>
    <n v="453"/>
    <x v="11"/>
    <x v="0"/>
    <x v="102"/>
    <x v="0"/>
    <x v="2"/>
    <x v="2"/>
    <x v="452"/>
  </r>
  <r>
    <n v="454"/>
    <x v="55"/>
    <x v="1"/>
    <x v="132"/>
    <x v="0"/>
    <x v="2"/>
    <x v="1"/>
    <x v="453"/>
  </r>
  <r>
    <n v="455"/>
    <x v="98"/>
    <x v="0"/>
    <x v="132"/>
    <x v="0"/>
    <x v="2"/>
    <x v="2"/>
    <x v="454"/>
  </r>
  <r>
    <n v="456"/>
    <x v="9"/>
    <x v="0"/>
    <x v="95"/>
    <x v="2"/>
    <x v="1"/>
    <x v="2"/>
    <x v="455"/>
  </r>
  <r>
    <n v="457"/>
    <x v="16"/>
    <x v="0"/>
    <x v="61"/>
    <x v="2"/>
    <x v="0"/>
    <x v="1"/>
    <x v="456"/>
  </r>
  <r>
    <n v="458"/>
    <x v="65"/>
    <x v="1"/>
    <x v="87"/>
    <x v="1"/>
    <x v="2"/>
    <x v="0"/>
    <x v="457"/>
  </r>
  <r>
    <n v="459"/>
    <x v="35"/>
    <x v="1"/>
    <x v="167"/>
    <x v="0"/>
    <x v="2"/>
    <x v="1"/>
    <x v="458"/>
  </r>
  <r>
    <n v="460"/>
    <x v="65"/>
    <x v="0"/>
    <x v="48"/>
    <x v="0"/>
    <x v="0"/>
    <x v="0"/>
    <x v="459"/>
  </r>
  <r>
    <n v="461"/>
    <x v="77"/>
    <x v="1"/>
    <x v="85"/>
    <x v="1"/>
    <x v="0"/>
    <x v="0"/>
    <x v="460"/>
  </r>
  <r>
    <n v="462"/>
    <x v="58"/>
    <x v="0"/>
    <x v="47"/>
    <x v="1"/>
    <x v="0"/>
    <x v="2"/>
    <x v="461"/>
  </r>
  <r>
    <n v="463"/>
    <x v="54"/>
    <x v="1"/>
    <x v="53"/>
    <x v="2"/>
    <x v="0"/>
    <x v="1"/>
    <x v="462"/>
  </r>
  <r>
    <n v="464"/>
    <x v="18"/>
    <x v="1"/>
    <x v="99"/>
    <x v="0"/>
    <x v="2"/>
    <x v="0"/>
    <x v="463"/>
  </r>
  <r>
    <n v="465"/>
    <x v="22"/>
    <x v="0"/>
    <x v="56"/>
    <x v="1"/>
    <x v="0"/>
    <x v="2"/>
    <x v="464"/>
  </r>
  <r>
    <n v="466"/>
    <x v="89"/>
    <x v="2"/>
    <x v="134"/>
    <x v="2"/>
    <x v="1"/>
    <x v="0"/>
    <x v="465"/>
  </r>
  <r>
    <n v="467"/>
    <x v="64"/>
    <x v="2"/>
    <x v="161"/>
    <x v="1"/>
    <x v="2"/>
    <x v="1"/>
    <x v="466"/>
  </r>
  <r>
    <n v="468"/>
    <x v="56"/>
    <x v="1"/>
    <x v="162"/>
    <x v="1"/>
    <x v="0"/>
    <x v="0"/>
    <x v="467"/>
  </r>
  <r>
    <n v="469"/>
    <x v="7"/>
    <x v="1"/>
    <x v="9"/>
    <x v="2"/>
    <x v="2"/>
    <x v="2"/>
    <x v="468"/>
  </r>
  <r>
    <n v="470"/>
    <x v="79"/>
    <x v="0"/>
    <x v="78"/>
    <x v="0"/>
    <x v="0"/>
    <x v="0"/>
    <x v="469"/>
  </r>
  <r>
    <n v="471"/>
    <x v="85"/>
    <x v="2"/>
    <x v="125"/>
    <x v="1"/>
    <x v="0"/>
    <x v="2"/>
    <x v="470"/>
  </r>
  <r>
    <n v="472"/>
    <x v="45"/>
    <x v="1"/>
    <x v="125"/>
    <x v="1"/>
    <x v="1"/>
    <x v="0"/>
    <x v="471"/>
  </r>
  <r>
    <n v="473"/>
    <x v="83"/>
    <x v="0"/>
    <x v="10"/>
    <x v="1"/>
    <x v="0"/>
    <x v="2"/>
    <x v="472"/>
  </r>
  <r>
    <n v="474"/>
    <x v="41"/>
    <x v="2"/>
    <x v="83"/>
    <x v="0"/>
    <x v="2"/>
    <x v="1"/>
    <x v="473"/>
  </r>
  <r>
    <n v="475"/>
    <x v="62"/>
    <x v="2"/>
    <x v="168"/>
    <x v="2"/>
    <x v="2"/>
    <x v="2"/>
    <x v="474"/>
  </r>
  <r>
    <n v="476"/>
    <x v="11"/>
    <x v="2"/>
    <x v="84"/>
    <x v="1"/>
    <x v="1"/>
    <x v="0"/>
    <x v="475"/>
  </r>
  <r>
    <n v="477"/>
    <x v="83"/>
    <x v="1"/>
    <x v="20"/>
    <x v="0"/>
    <x v="1"/>
    <x v="0"/>
    <x v="476"/>
  </r>
  <r>
    <n v="478"/>
    <x v="27"/>
    <x v="1"/>
    <x v="169"/>
    <x v="2"/>
    <x v="2"/>
    <x v="0"/>
    <x v="477"/>
  </r>
  <r>
    <n v="479"/>
    <x v="96"/>
    <x v="2"/>
    <x v="98"/>
    <x v="0"/>
    <x v="1"/>
    <x v="0"/>
    <x v="478"/>
  </r>
  <r>
    <n v="480"/>
    <x v="80"/>
    <x v="1"/>
    <x v="109"/>
    <x v="1"/>
    <x v="0"/>
    <x v="1"/>
    <x v="479"/>
  </r>
  <r>
    <n v="481"/>
    <x v="65"/>
    <x v="2"/>
    <x v="111"/>
    <x v="2"/>
    <x v="1"/>
    <x v="1"/>
    <x v="480"/>
  </r>
  <r>
    <n v="482"/>
    <x v="29"/>
    <x v="0"/>
    <x v="170"/>
    <x v="2"/>
    <x v="1"/>
    <x v="0"/>
    <x v="481"/>
  </r>
  <r>
    <n v="483"/>
    <x v="3"/>
    <x v="0"/>
    <x v="68"/>
    <x v="0"/>
    <x v="2"/>
    <x v="0"/>
    <x v="482"/>
  </r>
  <r>
    <n v="484"/>
    <x v="72"/>
    <x v="2"/>
    <x v="171"/>
    <x v="1"/>
    <x v="0"/>
    <x v="2"/>
    <x v="483"/>
  </r>
  <r>
    <n v="485"/>
    <x v="98"/>
    <x v="0"/>
    <x v="110"/>
    <x v="2"/>
    <x v="0"/>
    <x v="2"/>
    <x v="484"/>
  </r>
  <r>
    <n v="486"/>
    <x v="62"/>
    <x v="2"/>
    <x v="27"/>
    <x v="1"/>
    <x v="1"/>
    <x v="1"/>
    <x v="485"/>
  </r>
  <r>
    <n v="487"/>
    <x v="97"/>
    <x v="2"/>
    <x v="154"/>
    <x v="1"/>
    <x v="1"/>
    <x v="2"/>
    <x v="486"/>
  </r>
  <r>
    <n v="488"/>
    <x v="30"/>
    <x v="2"/>
    <x v="30"/>
    <x v="2"/>
    <x v="0"/>
    <x v="1"/>
    <x v="487"/>
  </r>
  <r>
    <n v="489"/>
    <x v="89"/>
    <x v="2"/>
    <x v="122"/>
    <x v="1"/>
    <x v="0"/>
    <x v="0"/>
    <x v="488"/>
  </r>
  <r>
    <n v="490"/>
    <x v="31"/>
    <x v="1"/>
    <x v="35"/>
    <x v="1"/>
    <x v="0"/>
    <x v="2"/>
    <x v="489"/>
  </r>
  <r>
    <n v="491"/>
    <x v="7"/>
    <x v="1"/>
    <x v="21"/>
    <x v="1"/>
    <x v="1"/>
    <x v="2"/>
    <x v="490"/>
  </r>
  <r>
    <n v="492"/>
    <x v="37"/>
    <x v="1"/>
    <x v="172"/>
    <x v="0"/>
    <x v="2"/>
    <x v="0"/>
    <x v="491"/>
  </r>
  <r>
    <n v="493"/>
    <x v="27"/>
    <x v="1"/>
    <x v="82"/>
    <x v="0"/>
    <x v="1"/>
    <x v="2"/>
    <x v="492"/>
  </r>
  <r>
    <n v="494"/>
    <x v="49"/>
    <x v="0"/>
    <x v="150"/>
    <x v="1"/>
    <x v="1"/>
    <x v="0"/>
    <x v="493"/>
  </r>
  <r>
    <n v="495"/>
    <x v="33"/>
    <x v="0"/>
    <x v="126"/>
    <x v="2"/>
    <x v="2"/>
    <x v="1"/>
    <x v="494"/>
  </r>
  <r>
    <n v="496"/>
    <x v="1"/>
    <x v="1"/>
    <x v="94"/>
    <x v="1"/>
    <x v="1"/>
    <x v="0"/>
    <x v="495"/>
  </r>
  <r>
    <n v="497"/>
    <x v="33"/>
    <x v="1"/>
    <x v="3"/>
    <x v="0"/>
    <x v="1"/>
    <x v="0"/>
    <x v="496"/>
  </r>
  <r>
    <n v="498"/>
    <x v="12"/>
    <x v="2"/>
    <x v="173"/>
    <x v="1"/>
    <x v="2"/>
    <x v="0"/>
    <x v="497"/>
  </r>
  <r>
    <n v="499"/>
    <x v="23"/>
    <x v="2"/>
    <x v="71"/>
    <x v="2"/>
    <x v="2"/>
    <x v="0"/>
    <x v="498"/>
  </r>
  <r>
    <n v="500"/>
    <x v="68"/>
    <x v="1"/>
    <x v="91"/>
    <x v="2"/>
    <x v="2"/>
    <x v="2"/>
    <x v="499"/>
  </r>
  <r>
    <n v="501"/>
    <x v="92"/>
    <x v="0"/>
    <x v="24"/>
    <x v="2"/>
    <x v="0"/>
    <x v="0"/>
    <x v="500"/>
  </r>
  <r>
    <n v="502"/>
    <x v="41"/>
    <x v="0"/>
    <x v="1"/>
    <x v="2"/>
    <x v="0"/>
    <x v="1"/>
    <x v="501"/>
  </r>
  <r>
    <n v="503"/>
    <x v="73"/>
    <x v="2"/>
    <x v="155"/>
    <x v="2"/>
    <x v="1"/>
    <x v="2"/>
    <x v="502"/>
  </r>
  <r>
    <n v="504"/>
    <x v="14"/>
    <x v="2"/>
    <x v="138"/>
    <x v="1"/>
    <x v="2"/>
    <x v="2"/>
    <x v="503"/>
  </r>
  <r>
    <n v="505"/>
    <x v="32"/>
    <x v="0"/>
    <x v="61"/>
    <x v="2"/>
    <x v="0"/>
    <x v="0"/>
    <x v="504"/>
  </r>
  <r>
    <n v="506"/>
    <x v="65"/>
    <x v="0"/>
    <x v="128"/>
    <x v="1"/>
    <x v="1"/>
    <x v="0"/>
    <x v="505"/>
  </r>
  <r>
    <n v="507"/>
    <x v="18"/>
    <x v="2"/>
    <x v="6"/>
    <x v="0"/>
    <x v="1"/>
    <x v="2"/>
    <x v="506"/>
  </r>
  <r>
    <n v="508"/>
    <x v="70"/>
    <x v="1"/>
    <x v="30"/>
    <x v="2"/>
    <x v="2"/>
    <x v="0"/>
    <x v="507"/>
  </r>
  <r>
    <n v="509"/>
    <x v="73"/>
    <x v="0"/>
    <x v="172"/>
    <x v="1"/>
    <x v="1"/>
    <x v="1"/>
    <x v="508"/>
  </r>
  <r>
    <n v="510"/>
    <x v="52"/>
    <x v="1"/>
    <x v="52"/>
    <x v="1"/>
    <x v="1"/>
    <x v="1"/>
    <x v="509"/>
  </r>
  <r>
    <n v="511"/>
    <x v="31"/>
    <x v="2"/>
    <x v="11"/>
    <x v="1"/>
    <x v="2"/>
    <x v="2"/>
    <x v="510"/>
  </r>
  <r>
    <n v="512"/>
    <x v="72"/>
    <x v="2"/>
    <x v="19"/>
    <x v="1"/>
    <x v="1"/>
    <x v="1"/>
    <x v="511"/>
  </r>
  <r>
    <n v="513"/>
    <x v="50"/>
    <x v="2"/>
    <x v="37"/>
    <x v="2"/>
    <x v="2"/>
    <x v="0"/>
    <x v="512"/>
  </r>
  <r>
    <n v="514"/>
    <x v="57"/>
    <x v="0"/>
    <x v="44"/>
    <x v="0"/>
    <x v="0"/>
    <x v="0"/>
    <x v="513"/>
  </r>
  <r>
    <n v="515"/>
    <x v="25"/>
    <x v="0"/>
    <x v="97"/>
    <x v="1"/>
    <x v="2"/>
    <x v="2"/>
    <x v="514"/>
  </r>
  <r>
    <n v="516"/>
    <x v="45"/>
    <x v="1"/>
    <x v="11"/>
    <x v="0"/>
    <x v="2"/>
    <x v="1"/>
    <x v="515"/>
  </r>
  <r>
    <n v="517"/>
    <x v="86"/>
    <x v="2"/>
    <x v="144"/>
    <x v="1"/>
    <x v="2"/>
    <x v="2"/>
    <x v="516"/>
  </r>
  <r>
    <n v="518"/>
    <x v="75"/>
    <x v="2"/>
    <x v="3"/>
    <x v="1"/>
    <x v="1"/>
    <x v="1"/>
    <x v="517"/>
  </r>
  <r>
    <n v="519"/>
    <x v="71"/>
    <x v="1"/>
    <x v="93"/>
    <x v="1"/>
    <x v="1"/>
    <x v="2"/>
    <x v="518"/>
  </r>
  <r>
    <n v="520"/>
    <x v="54"/>
    <x v="1"/>
    <x v="165"/>
    <x v="1"/>
    <x v="1"/>
    <x v="0"/>
    <x v="519"/>
  </r>
  <r>
    <n v="521"/>
    <x v="11"/>
    <x v="0"/>
    <x v="109"/>
    <x v="2"/>
    <x v="1"/>
    <x v="0"/>
    <x v="520"/>
  </r>
  <r>
    <n v="522"/>
    <x v="55"/>
    <x v="0"/>
    <x v="24"/>
    <x v="2"/>
    <x v="1"/>
    <x v="2"/>
    <x v="521"/>
  </r>
  <r>
    <n v="523"/>
    <x v="1"/>
    <x v="1"/>
    <x v="146"/>
    <x v="0"/>
    <x v="2"/>
    <x v="1"/>
    <x v="522"/>
  </r>
  <r>
    <n v="524"/>
    <x v="4"/>
    <x v="2"/>
    <x v="171"/>
    <x v="2"/>
    <x v="0"/>
    <x v="0"/>
    <x v="523"/>
  </r>
  <r>
    <n v="525"/>
    <x v="72"/>
    <x v="1"/>
    <x v="42"/>
    <x v="2"/>
    <x v="1"/>
    <x v="2"/>
    <x v="524"/>
  </r>
  <r>
    <n v="526"/>
    <x v="38"/>
    <x v="0"/>
    <x v="171"/>
    <x v="2"/>
    <x v="0"/>
    <x v="2"/>
    <x v="525"/>
  </r>
  <r>
    <n v="527"/>
    <x v="55"/>
    <x v="0"/>
    <x v="91"/>
    <x v="0"/>
    <x v="0"/>
    <x v="2"/>
    <x v="526"/>
  </r>
  <r>
    <n v="528"/>
    <x v="59"/>
    <x v="1"/>
    <x v="174"/>
    <x v="1"/>
    <x v="0"/>
    <x v="1"/>
    <x v="527"/>
  </r>
  <r>
    <n v="529"/>
    <x v="88"/>
    <x v="0"/>
    <x v="23"/>
    <x v="2"/>
    <x v="0"/>
    <x v="2"/>
    <x v="528"/>
  </r>
  <r>
    <n v="530"/>
    <x v="56"/>
    <x v="1"/>
    <x v="72"/>
    <x v="2"/>
    <x v="1"/>
    <x v="1"/>
    <x v="529"/>
  </r>
  <r>
    <n v="531"/>
    <x v="81"/>
    <x v="2"/>
    <x v="131"/>
    <x v="1"/>
    <x v="1"/>
    <x v="0"/>
    <x v="530"/>
  </r>
  <r>
    <n v="532"/>
    <x v="1"/>
    <x v="0"/>
    <x v="171"/>
    <x v="2"/>
    <x v="1"/>
    <x v="2"/>
    <x v="531"/>
  </r>
  <r>
    <n v="533"/>
    <x v="33"/>
    <x v="2"/>
    <x v="175"/>
    <x v="2"/>
    <x v="0"/>
    <x v="0"/>
    <x v="532"/>
  </r>
  <r>
    <n v="534"/>
    <x v="4"/>
    <x v="2"/>
    <x v="61"/>
    <x v="2"/>
    <x v="0"/>
    <x v="0"/>
    <x v="533"/>
  </r>
  <r>
    <n v="535"/>
    <x v="86"/>
    <x v="0"/>
    <x v="113"/>
    <x v="1"/>
    <x v="1"/>
    <x v="1"/>
    <x v="534"/>
  </r>
  <r>
    <n v="536"/>
    <x v="59"/>
    <x v="1"/>
    <x v="164"/>
    <x v="1"/>
    <x v="1"/>
    <x v="1"/>
    <x v="535"/>
  </r>
  <r>
    <n v="537"/>
    <x v="73"/>
    <x v="2"/>
    <x v="155"/>
    <x v="0"/>
    <x v="1"/>
    <x v="0"/>
    <x v="536"/>
  </r>
  <r>
    <n v="538"/>
    <x v="61"/>
    <x v="0"/>
    <x v="4"/>
    <x v="0"/>
    <x v="2"/>
    <x v="1"/>
    <x v="537"/>
  </r>
  <r>
    <n v="539"/>
    <x v="0"/>
    <x v="2"/>
    <x v="165"/>
    <x v="1"/>
    <x v="2"/>
    <x v="2"/>
    <x v="538"/>
  </r>
  <r>
    <n v="540"/>
    <x v="9"/>
    <x v="2"/>
    <x v="40"/>
    <x v="1"/>
    <x v="0"/>
    <x v="2"/>
    <x v="539"/>
  </r>
  <r>
    <n v="541"/>
    <x v="94"/>
    <x v="2"/>
    <x v="149"/>
    <x v="0"/>
    <x v="1"/>
    <x v="2"/>
    <x v="540"/>
  </r>
  <r>
    <n v="542"/>
    <x v="33"/>
    <x v="1"/>
    <x v="33"/>
    <x v="2"/>
    <x v="2"/>
    <x v="2"/>
    <x v="541"/>
  </r>
  <r>
    <n v="543"/>
    <x v="79"/>
    <x v="0"/>
    <x v="176"/>
    <x v="0"/>
    <x v="0"/>
    <x v="0"/>
    <x v="542"/>
  </r>
  <r>
    <n v="544"/>
    <x v="58"/>
    <x v="2"/>
    <x v="79"/>
    <x v="0"/>
    <x v="0"/>
    <x v="1"/>
    <x v="543"/>
  </r>
  <r>
    <n v="545"/>
    <x v="76"/>
    <x v="0"/>
    <x v="173"/>
    <x v="0"/>
    <x v="0"/>
    <x v="0"/>
    <x v="544"/>
  </r>
  <r>
    <n v="546"/>
    <x v="5"/>
    <x v="1"/>
    <x v="6"/>
    <x v="0"/>
    <x v="0"/>
    <x v="2"/>
    <x v="545"/>
  </r>
  <r>
    <n v="547"/>
    <x v="3"/>
    <x v="2"/>
    <x v="10"/>
    <x v="2"/>
    <x v="2"/>
    <x v="0"/>
    <x v="546"/>
  </r>
  <r>
    <n v="548"/>
    <x v="7"/>
    <x v="1"/>
    <x v="162"/>
    <x v="1"/>
    <x v="1"/>
    <x v="1"/>
    <x v="547"/>
  </r>
  <r>
    <n v="549"/>
    <x v="59"/>
    <x v="2"/>
    <x v="25"/>
    <x v="2"/>
    <x v="0"/>
    <x v="0"/>
    <x v="548"/>
  </r>
  <r>
    <n v="550"/>
    <x v="60"/>
    <x v="0"/>
    <x v="138"/>
    <x v="2"/>
    <x v="0"/>
    <x v="1"/>
    <x v="549"/>
  </r>
  <r>
    <n v="551"/>
    <x v="12"/>
    <x v="1"/>
    <x v="148"/>
    <x v="2"/>
    <x v="0"/>
    <x v="1"/>
    <x v="550"/>
  </r>
  <r>
    <n v="552"/>
    <x v="57"/>
    <x v="0"/>
    <x v="31"/>
    <x v="0"/>
    <x v="0"/>
    <x v="1"/>
    <x v="551"/>
  </r>
  <r>
    <n v="553"/>
    <x v="31"/>
    <x v="1"/>
    <x v="156"/>
    <x v="2"/>
    <x v="1"/>
    <x v="2"/>
    <x v="552"/>
  </r>
  <r>
    <n v="554"/>
    <x v="8"/>
    <x v="1"/>
    <x v="126"/>
    <x v="1"/>
    <x v="1"/>
    <x v="1"/>
    <x v="553"/>
  </r>
  <r>
    <n v="555"/>
    <x v="75"/>
    <x v="1"/>
    <x v="18"/>
    <x v="0"/>
    <x v="0"/>
    <x v="1"/>
    <x v="554"/>
  </r>
  <r>
    <n v="556"/>
    <x v="51"/>
    <x v="1"/>
    <x v="177"/>
    <x v="2"/>
    <x v="0"/>
    <x v="0"/>
    <x v="555"/>
  </r>
  <r>
    <n v="557"/>
    <x v="62"/>
    <x v="1"/>
    <x v="114"/>
    <x v="1"/>
    <x v="0"/>
    <x v="2"/>
    <x v="556"/>
  </r>
  <r>
    <n v="558"/>
    <x v="31"/>
    <x v="0"/>
    <x v="151"/>
    <x v="1"/>
    <x v="0"/>
    <x v="0"/>
    <x v="557"/>
  </r>
  <r>
    <n v="559"/>
    <x v="5"/>
    <x v="2"/>
    <x v="167"/>
    <x v="1"/>
    <x v="0"/>
    <x v="2"/>
    <x v="558"/>
  </r>
  <r>
    <n v="560"/>
    <x v="91"/>
    <x v="2"/>
    <x v="80"/>
    <x v="2"/>
    <x v="2"/>
    <x v="2"/>
    <x v="559"/>
  </r>
  <r>
    <n v="561"/>
    <x v="10"/>
    <x v="1"/>
    <x v="57"/>
    <x v="2"/>
    <x v="2"/>
    <x v="1"/>
    <x v="560"/>
  </r>
  <r>
    <n v="562"/>
    <x v="13"/>
    <x v="2"/>
    <x v="6"/>
    <x v="1"/>
    <x v="2"/>
    <x v="2"/>
    <x v="561"/>
  </r>
  <r>
    <n v="563"/>
    <x v="58"/>
    <x v="1"/>
    <x v="145"/>
    <x v="0"/>
    <x v="0"/>
    <x v="1"/>
    <x v="562"/>
  </r>
  <r>
    <n v="564"/>
    <x v="57"/>
    <x v="1"/>
    <x v="47"/>
    <x v="2"/>
    <x v="1"/>
    <x v="2"/>
    <x v="563"/>
  </r>
  <r>
    <n v="565"/>
    <x v="27"/>
    <x v="0"/>
    <x v="6"/>
    <x v="2"/>
    <x v="0"/>
    <x v="2"/>
    <x v="564"/>
  </r>
  <r>
    <n v="566"/>
    <x v="71"/>
    <x v="2"/>
    <x v="68"/>
    <x v="1"/>
    <x v="0"/>
    <x v="1"/>
    <x v="565"/>
  </r>
  <r>
    <n v="567"/>
    <x v="83"/>
    <x v="1"/>
    <x v="30"/>
    <x v="1"/>
    <x v="1"/>
    <x v="1"/>
    <x v="566"/>
  </r>
  <r>
    <n v="568"/>
    <x v="41"/>
    <x v="0"/>
    <x v="130"/>
    <x v="2"/>
    <x v="0"/>
    <x v="1"/>
    <x v="567"/>
  </r>
  <r>
    <n v="569"/>
    <x v="62"/>
    <x v="1"/>
    <x v="15"/>
    <x v="0"/>
    <x v="1"/>
    <x v="1"/>
    <x v="568"/>
  </r>
  <r>
    <n v="570"/>
    <x v="31"/>
    <x v="2"/>
    <x v="97"/>
    <x v="1"/>
    <x v="1"/>
    <x v="0"/>
    <x v="569"/>
  </r>
  <r>
    <n v="571"/>
    <x v="87"/>
    <x v="1"/>
    <x v="91"/>
    <x v="2"/>
    <x v="1"/>
    <x v="2"/>
    <x v="570"/>
  </r>
  <r>
    <n v="572"/>
    <x v="43"/>
    <x v="0"/>
    <x v="68"/>
    <x v="1"/>
    <x v="1"/>
    <x v="0"/>
    <x v="571"/>
  </r>
  <r>
    <n v="573"/>
    <x v="92"/>
    <x v="2"/>
    <x v="140"/>
    <x v="1"/>
    <x v="1"/>
    <x v="0"/>
    <x v="572"/>
  </r>
  <r>
    <n v="574"/>
    <x v="44"/>
    <x v="1"/>
    <x v="65"/>
    <x v="0"/>
    <x v="1"/>
    <x v="0"/>
    <x v="573"/>
  </r>
  <r>
    <n v="575"/>
    <x v="13"/>
    <x v="1"/>
    <x v="69"/>
    <x v="0"/>
    <x v="0"/>
    <x v="0"/>
    <x v="574"/>
  </r>
  <r>
    <n v="576"/>
    <x v="66"/>
    <x v="0"/>
    <x v="81"/>
    <x v="2"/>
    <x v="1"/>
    <x v="1"/>
    <x v="575"/>
  </r>
  <r>
    <n v="577"/>
    <x v="61"/>
    <x v="1"/>
    <x v="172"/>
    <x v="2"/>
    <x v="1"/>
    <x v="0"/>
    <x v="576"/>
  </r>
  <r>
    <n v="578"/>
    <x v="97"/>
    <x v="0"/>
    <x v="82"/>
    <x v="0"/>
    <x v="0"/>
    <x v="0"/>
    <x v="577"/>
  </r>
  <r>
    <n v="579"/>
    <x v="68"/>
    <x v="0"/>
    <x v="159"/>
    <x v="1"/>
    <x v="0"/>
    <x v="2"/>
    <x v="578"/>
  </r>
  <r>
    <n v="580"/>
    <x v="0"/>
    <x v="0"/>
    <x v="166"/>
    <x v="1"/>
    <x v="2"/>
    <x v="0"/>
    <x v="579"/>
  </r>
  <r>
    <n v="581"/>
    <x v="39"/>
    <x v="1"/>
    <x v="11"/>
    <x v="1"/>
    <x v="2"/>
    <x v="2"/>
    <x v="580"/>
  </r>
  <r>
    <n v="582"/>
    <x v="67"/>
    <x v="2"/>
    <x v="32"/>
    <x v="0"/>
    <x v="2"/>
    <x v="1"/>
    <x v="581"/>
  </r>
  <r>
    <n v="583"/>
    <x v="11"/>
    <x v="0"/>
    <x v="55"/>
    <x v="1"/>
    <x v="2"/>
    <x v="1"/>
    <x v="582"/>
  </r>
  <r>
    <n v="584"/>
    <x v="24"/>
    <x v="0"/>
    <x v="55"/>
    <x v="0"/>
    <x v="0"/>
    <x v="0"/>
    <x v="583"/>
  </r>
  <r>
    <n v="585"/>
    <x v="93"/>
    <x v="0"/>
    <x v="178"/>
    <x v="2"/>
    <x v="1"/>
    <x v="1"/>
    <x v="584"/>
  </r>
  <r>
    <n v="586"/>
    <x v="62"/>
    <x v="2"/>
    <x v="35"/>
    <x v="2"/>
    <x v="1"/>
    <x v="1"/>
    <x v="585"/>
  </r>
  <r>
    <n v="587"/>
    <x v="29"/>
    <x v="0"/>
    <x v="89"/>
    <x v="2"/>
    <x v="2"/>
    <x v="2"/>
    <x v="586"/>
  </r>
  <r>
    <n v="588"/>
    <x v="95"/>
    <x v="0"/>
    <x v="167"/>
    <x v="2"/>
    <x v="2"/>
    <x v="0"/>
    <x v="587"/>
  </r>
  <r>
    <n v="589"/>
    <x v="59"/>
    <x v="0"/>
    <x v="114"/>
    <x v="1"/>
    <x v="2"/>
    <x v="0"/>
    <x v="588"/>
  </r>
  <r>
    <n v="590"/>
    <x v="7"/>
    <x v="0"/>
    <x v="68"/>
    <x v="0"/>
    <x v="0"/>
    <x v="2"/>
    <x v="589"/>
  </r>
  <r>
    <n v="591"/>
    <x v="7"/>
    <x v="1"/>
    <x v="66"/>
    <x v="2"/>
    <x v="2"/>
    <x v="2"/>
    <x v="590"/>
  </r>
  <r>
    <n v="592"/>
    <x v="40"/>
    <x v="0"/>
    <x v="178"/>
    <x v="1"/>
    <x v="0"/>
    <x v="1"/>
    <x v="591"/>
  </r>
  <r>
    <n v="593"/>
    <x v="43"/>
    <x v="1"/>
    <x v="124"/>
    <x v="2"/>
    <x v="2"/>
    <x v="0"/>
    <x v="592"/>
  </r>
  <r>
    <n v="594"/>
    <x v="71"/>
    <x v="2"/>
    <x v="64"/>
    <x v="2"/>
    <x v="2"/>
    <x v="1"/>
    <x v="593"/>
  </r>
  <r>
    <n v="595"/>
    <x v="23"/>
    <x v="2"/>
    <x v="115"/>
    <x v="2"/>
    <x v="2"/>
    <x v="1"/>
    <x v="594"/>
  </r>
  <r>
    <n v="596"/>
    <x v="14"/>
    <x v="0"/>
    <x v="170"/>
    <x v="1"/>
    <x v="2"/>
    <x v="1"/>
    <x v="595"/>
  </r>
  <r>
    <n v="597"/>
    <x v="97"/>
    <x v="2"/>
    <x v="91"/>
    <x v="1"/>
    <x v="1"/>
    <x v="1"/>
    <x v="596"/>
  </r>
  <r>
    <n v="598"/>
    <x v="98"/>
    <x v="1"/>
    <x v="32"/>
    <x v="0"/>
    <x v="1"/>
    <x v="1"/>
    <x v="597"/>
  </r>
  <r>
    <n v="599"/>
    <x v="36"/>
    <x v="1"/>
    <x v="104"/>
    <x v="1"/>
    <x v="1"/>
    <x v="2"/>
    <x v="598"/>
  </r>
  <r>
    <n v="600"/>
    <x v="92"/>
    <x v="2"/>
    <x v="172"/>
    <x v="0"/>
    <x v="1"/>
    <x v="2"/>
    <x v="599"/>
  </r>
  <r>
    <n v="601"/>
    <x v="92"/>
    <x v="0"/>
    <x v="39"/>
    <x v="1"/>
    <x v="2"/>
    <x v="0"/>
    <x v="600"/>
  </r>
  <r>
    <n v="602"/>
    <x v="14"/>
    <x v="2"/>
    <x v="171"/>
    <x v="2"/>
    <x v="2"/>
    <x v="0"/>
    <x v="601"/>
  </r>
  <r>
    <n v="603"/>
    <x v="10"/>
    <x v="0"/>
    <x v="113"/>
    <x v="2"/>
    <x v="2"/>
    <x v="2"/>
    <x v="602"/>
  </r>
  <r>
    <n v="604"/>
    <x v="68"/>
    <x v="1"/>
    <x v="92"/>
    <x v="2"/>
    <x v="1"/>
    <x v="0"/>
    <x v="603"/>
  </r>
  <r>
    <n v="605"/>
    <x v="16"/>
    <x v="1"/>
    <x v="38"/>
    <x v="2"/>
    <x v="2"/>
    <x v="1"/>
    <x v="604"/>
  </r>
  <r>
    <n v="606"/>
    <x v="16"/>
    <x v="0"/>
    <x v="151"/>
    <x v="2"/>
    <x v="0"/>
    <x v="2"/>
    <x v="605"/>
  </r>
  <r>
    <n v="607"/>
    <x v="54"/>
    <x v="2"/>
    <x v="147"/>
    <x v="0"/>
    <x v="0"/>
    <x v="0"/>
    <x v="606"/>
  </r>
  <r>
    <n v="608"/>
    <x v="44"/>
    <x v="2"/>
    <x v="92"/>
    <x v="2"/>
    <x v="0"/>
    <x v="1"/>
    <x v="607"/>
  </r>
  <r>
    <n v="609"/>
    <x v="44"/>
    <x v="0"/>
    <x v="19"/>
    <x v="1"/>
    <x v="1"/>
    <x v="0"/>
    <x v="608"/>
  </r>
  <r>
    <n v="610"/>
    <x v="18"/>
    <x v="2"/>
    <x v="165"/>
    <x v="1"/>
    <x v="0"/>
    <x v="2"/>
    <x v="609"/>
  </r>
  <r>
    <n v="611"/>
    <x v="67"/>
    <x v="1"/>
    <x v="14"/>
    <x v="1"/>
    <x v="0"/>
    <x v="2"/>
    <x v="610"/>
  </r>
  <r>
    <n v="612"/>
    <x v="58"/>
    <x v="0"/>
    <x v="151"/>
    <x v="1"/>
    <x v="0"/>
    <x v="2"/>
    <x v="611"/>
  </r>
  <r>
    <n v="613"/>
    <x v="29"/>
    <x v="0"/>
    <x v="146"/>
    <x v="2"/>
    <x v="2"/>
    <x v="0"/>
    <x v="612"/>
  </r>
  <r>
    <n v="614"/>
    <x v="19"/>
    <x v="2"/>
    <x v="169"/>
    <x v="2"/>
    <x v="1"/>
    <x v="2"/>
    <x v="613"/>
  </r>
  <r>
    <n v="615"/>
    <x v="15"/>
    <x v="2"/>
    <x v="85"/>
    <x v="2"/>
    <x v="2"/>
    <x v="1"/>
    <x v="614"/>
  </r>
  <r>
    <n v="616"/>
    <x v="18"/>
    <x v="1"/>
    <x v="107"/>
    <x v="1"/>
    <x v="1"/>
    <x v="2"/>
    <x v="615"/>
  </r>
  <r>
    <n v="617"/>
    <x v="87"/>
    <x v="1"/>
    <x v="37"/>
    <x v="1"/>
    <x v="2"/>
    <x v="1"/>
    <x v="616"/>
  </r>
  <r>
    <n v="618"/>
    <x v="32"/>
    <x v="1"/>
    <x v="110"/>
    <x v="0"/>
    <x v="0"/>
    <x v="2"/>
    <x v="617"/>
  </r>
  <r>
    <n v="619"/>
    <x v="12"/>
    <x v="1"/>
    <x v="47"/>
    <x v="0"/>
    <x v="2"/>
    <x v="1"/>
    <x v="618"/>
  </r>
  <r>
    <n v="620"/>
    <x v="30"/>
    <x v="2"/>
    <x v="89"/>
    <x v="1"/>
    <x v="1"/>
    <x v="2"/>
    <x v="619"/>
  </r>
  <r>
    <n v="621"/>
    <x v="69"/>
    <x v="0"/>
    <x v="81"/>
    <x v="2"/>
    <x v="1"/>
    <x v="2"/>
    <x v="620"/>
  </r>
  <r>
    <n v="622"/>
    <x v="12"/>
    <x v="0"/>
    <x v="34"/>
    <x v="1"/>
    <x v="0"/>
    <x v="2"/>
    <x v="621"/>
  </r>
  <r>
    <n v="623"/>
    <x v="59"/>
    <x v="2"/>
    <x v="86"/>
    <x v="0"/>
    <x v="2"/>
    <x v="2"/>
    <x v="622"/>
  </r>
  <r>
    <n v="624"/>
    <x v="58"/>
    <x v="2"/>
    <x v="80"/>
    <x v="1"/>
    <x v="1"/>
    <x v="0"/>
    <x v="623"/>
  </r>
  <r>
    <n v="625"/>
    <x v="56"/>
    <x v="1"/>
    <x v="62"/>
    <x v="1"/>
    <x v="1"/>
    <x v="1"/>
    <x v="624"/>
  </r>
  <r>
    <n v="626"/>
    <x v="40"/>
    <x v="0"/>
    <x v="91"/>
    <x v="0"/>
    <x v="0"/>
    <x v="0"/>
    <x v="625"/>
  </r>
  <r>
    <n v="627"/>
    <x v="34"/>
    <x v="0"/>
    <x v="28"/>
    <x v="0"/>
    <x v="0"/>
    <x v="1"/>
    <x v="626"/>
  </r>
  <r>
    <n v="628"/>
    <x v="84"/>
    <x v="0"/>
    <x v="118"/>
    <x v="2"/>
    <x v="2"/>
    <x v="1"/>
    <x v="627"/>
  </r>
  <r>
    <n v="629"/>
    <x v="45"/>
    <x v="1"/>
    <x v="51"/>
    <x v="1"/>
    <x v="1"/>
    <x v="0"/>
    <x v="628"/>
  </r>
  <r>
    <n v="630"/>
    <x v="77"/>
    <x v="1"/>
    <x v="124"/>
    <x v="0"/>
    <x v="2"/>
    <x v="0"/>
    <x v="629"/>
  </r>
  <r>
    <n v="631"/>
    <x v="21"/>
    <x v="2"/>
    <x v="13"/>
    <x v="2"/>
    <x v="0"/>
    <x v="2"/>
    <x v="630"/>
  </r>
  <r>
    <n v="632"/>
    <x v="13"/>
    <x v="0"/>
    <x v="129"/>
    <x v="1"/>
    <x v="0"/>
    <x v="1"/>
    <x v="631"/>
  </r>
  <r>
    <n v="633"/>
    <x v="17"/>
    <x v="1"/>
    <x v="126"/>
    <x v="0"/>
    <x v="0"/>
    <x v="2"/>
    <x v="632"/>
  </r>
  <r>
    <n v="634"/>
    <x v="91"/>
    <x v="1"/>
    <x v="5"/>
    <x v="1"/>
    <x v="0"/>
    <x v="0"/>
    <x v="633"/>
  </r>
  <r>
    <n v="635"/>
    <x v="23"/>
    <x v="0"/>
    <x v="152"/>
    <x v="0"/>
    <x v="0"/>
    <x v="1"/>
    <x v="634"/>
  </r>
  <r>
    <n v="636"/>
    <x v="5"/>
    <x v="1"/>
    <x v="136"/>
    <x v="2"/>
    <x v="2"/>
    <x v="0"/>
    <x v="635"/>
  </r>
  <r>
    <n v="637"/>
    <x v="76"/>
    <x v="1"/>
    <x v="106"/>
    <x v="0"/>
    <x v="1"/>
    <x v="1"/>
    <x v="636"/>
  </r>
  <r>
    <n v="638"/>
    <x v="85"/>
    <x v="2"/>
    <x v="158"/>
    <x v="0"/>
    <x v="2"/>
    <x v="1"/>
    <x v="637"/>
  </r>
  <r>
    <n v="639"/>
    <x v="45"/>
    <x v="2"/>
    <x v="108"/>
    <x v="2"/>
    <x v="2"/>
    <x v="0"/>
    <x v="638"/>
  </r>
  <r>
    <n v="640"/>
    <x v="44"/>
    <x v="2"/>
    <x v="115"/>
    <x v="1"/>
    <x v="0"/>
    <x v="1"/>
    <x v="639"/>
  </r>
  <r>
    <n v="641"/>
    <x v="40"/>
    <x v="1"/>
    <x v="103"/>
    <x v="1"/>
    <x v="2"/>
    <x v="2"/>
    <x v="640"/>
  </r>
  <r>
    <n v="642"/>
    <x v="17"/>
    <x v="0"/>
    <x v="7"/>
    <x v="0"/>
    <x v="1"/>
    <x v="0"/>
    <x v="641"/>
  </r>
  <r>
    <n v="643"/>
    <x v="60"/>
    <x v="2"/>
    <x v="173"/>
    <x v="0"/>
    <x v="0"/>
    <x v="0"/>
    <x v="642"/>
  </r>
  <r>
    <n v="644"/>
    <x v="27"/>
    <x v="2"/>
    <x v="32"/>
    <x v="1"/>
    <x v="0"/>
    <x v="1"/>
    <x v="643"/>
  </r>
  <r>
    <n v="645"/>
    <x v="20"/>
    <x v="1"/>
    <x v="98"/>
    <x v="0"/>
    <x v="1"/>
    <x v="1"/>
    <x v="644"/>
  </r>
  <r>
    <n v="646"/>
    <x v="9"/>
    <x v="0"/>
    <x v="64"/>
    <x v="2"/>
    <x v="2"/>
    <x v="0"/>
    <x v="645"/>
  </r>
  <r>
    <n v="647"/>
    <x v="50"/>
    <x v="2"/>
    <x v="13"/>
    <x v="0"/>
    <x v="2"/>
    <x v="1"/>
    <x v="646"/>
  </r>
  <r>
    <n v="648"/>
    <x v="49"/>
    <x v="2"/>
    <x v="80"/>
    <x v="0"/>
    <x v="1"/>
    <x v="0"/>
    <x v="647"/>
  </r>
  <r>
    <n v="649"/>
    <x v="79"/>
    <x v="2"/>
    <x v="50"/>
    <x v="1"/>
    <x v="2"/>
    <x v="0"/>
    <x v="648"/>
  </r>
  <r>
    <n v="650"/>
    <x v="96"/>
    <x v="2"/>
    <x v="16"/>
    <x v="1"/>
    <x v="2"/>
    <x v="2"/>
    <x v="649"/>
  </r>
  <r>
    <n v="651"/>
    <x v="74"/>
    <x v="0"/>
    <x v="66"/>
    <x v="1"/>
    <x v="0"/>
    <x v="2"/>
    <x v="650"/>
  </r>
  <r>
    <n v="652"/>
    <x v="65"/>
    <x v="2"/>
    <x v="91"/>
    <x v="0"/>
    <x v="1"/>
    <x v="2"/>
    <x v="651"/>
  </r>
  <r>
    <n v="653"/>
    <x v="41"/>
    <x v="1"/>
    <x v="110"/>
    <x v="2"/>
    <x v="0"/>
    <x v="1"/>
    <x v="652"/>
  </r>
  <r>
    <n v="654"/>
    <x v="11"/>
    <x v="2"/>
    <x v="29"/>
    <x v="2"/>
    <x v="1"/>
    <x v="1"/>
    <x v="653"/>
  </r>
  <r>
    <n v="655"/>
    <x v="73"/>
    <x v="2"/>
    <x v="168"/>
    <x v="2"/>
    <x v="2"/>
    <x v="1"/>
    <x v="654"/>
  </r>
  <r>
    <n v="656"/>
    <x v="16"/>
    <x v="2"/>
    <x v="115"/>
    <x v="2"/>
    <x v="0"/>
    <x v="0"/>
    <x v="655"/>
  </r>
  <r>
    <n v="657"/>
    <x v="43"/>
    <x v="0"/>
    <x v="57"/>
    <x v="2"/>
    <x v="1"/>
    <x v="2"/>
    <x v="656"/>
  </r>
  <r>
    <n v="658"/>
    <x v="91"/>
    <x v="0"/>
    <x v="82"/>
    <x v="2"/>
    <x v="2"/>
    <x v="0"/>
    <x v="657"/>
  </r>
  <r>
    <n v="659"/>
    <x v="86"/>
    <x v="0"/>
    <x v="45"/>
    <x v="0"/>
    <x v="0"/>
    <x v="0"/>
    <x v="658"/>
  </r>
  <r>
    <n v="660"/>
    <x v="31"/>
    <x v="1"/>
    <x v="3"/>
    <x v="1"/>
    <x v="0"/>
    <x v="0"/>
    <x v="659"/>
  </r>
  <r>
    <n v="661"/>
    <x v="28"/>
    <x v="0"/>
    <x v="58"/>
    <x v="0"/>
    <x v="2"/>
    <x v="0"/>
    <x v="660"/>
  </r>
  <r>
    <n v="662"/>
    <x v="52"/>
    <x v="2"/>
    <x v="173"/>
    <x v="2"/>
    <x v="0"/>
    <x v="2"/>
    <x v="661"/>
  </r>
  <r>
    <n v="663"/>
    <x v="26"/>
    <x v="2"/>
    <x v="24"/>
    <x v="0"/>
    <x v="1"/>
    <x v="1"/>
    <x v="662"/>
  </r>
  <r>
    <n v="664"/>
    <x v="87"/>
    <x v="1"/>
    <x v="7"/>
    <x v="2"/>
    <x v="1"/>
    <x v="0"/>
    <x v="663"/>
  </r>
  <r>
    <n v="665"/>
    <x v="99"/>
    <x v="1"/>
    <x v="73"/>
    <x v="0"/>
    <x v="0"/>
    <x v="2"/>
    <x v="664"/>
  </r>
  <r>
    <n v="666"/>
    <x v="10"/>
    <x v="0"/>
    <x v="41"/>
    <x v="0"/>
    <x v="1"/>
    <x v="0"/>
    <x v="665"/>
  </r>
  <r>
    <n v="667"/>
    <x v="31"/>
    <x v="2"/>
    <x v="111"/>
    <x v="2"/>
    <x v="0"/>
    <x v="0"/>
    <x v="666"/>
  </r>
  <r>
    <n v="668"/>
    <x v="20"/>
    <x v="0"/>
    <x v="167"/>
    <x v="2"/>
    <x v="1"/>
    <x v="1"/>
    <x v="667"/>
  </r>
  <r>
    <n v="669"/>
    <x v="25"/>
    <x v="1"/>
    <x v="156"/>
    <x v="2"/>
    <x v="2"/>
    <x v="2"/>
    <x v="668"/>
  </r>
  <r>
    <n v="670"/>
    <x v="0"/>
    <x v="0"/>
    <x v="21"/>
    <x v="0"/>
    <x v="1"/>
    <x v="0"/>
    <x v="669"/>
  </r>
  <r>
    <n v="671"/>
    <x v="10"/>
    <x v="0"/>
    <x v="172"/>
    <x v="0"/>
    <x v="2"/>
    <x v="2"/>
    <x v="670"/>
  </r>
  <r>
    <n v="672"/>
    <x v="94"/>
    <x v="1"/>
    <x v="44"/>
    <x v="1"/>
    <x v="2"/>
    <x v="1"/>
    <x v="671"/>
  </r>
  <r>
    <n v="673"/>
    <x v="16"/>
    <x v="1"/>
    <x v="67"/>
    <x v="1"/>
    <x v="0"/>
    <x v="0"/>
    <x v="672"/>
  </r>
  <r>
    <n v="674"/>
    <x v="16"/>
    <x v="0"/>
    <x v="34"/>
    <x v="2"/>
    <x v="2"/>
    <x v="0"/>
    <x v="673"/>
  </r>
  <r>
    <n v="675"/>
    <x v="71"/>
    <x v="2"/>
    <x v="165"/>
    <x v="2"/>
    <x v="1"/>
    <x v="0"/>
    <x v="674"/>
  </r>
  <r>
    <n v="676"/>
    <x v="75"/>
    <x v="2"/>
    <x v="86"/>
    <x v="1"/>
    <x v="1"/>
    <x v="0"/>
    <x v="675"/>
  </r>
  <r>
    <n v="677"/>
    <x v="47"/>
    <x v="0"/>
    <x v="118"/>
    <x v="0"/>
    <x v="1"/>
    <x v="0"/>
    <x v="634"/>
  </r>
  <r>
    <n v="678"/>
    <x v="93"/>
    <x v="1"/>
    <x v="88"/>
    <x v="0"/>
    <x v="1"/>
    <x v="2"/>
    <x v="676"/>
  </r>
  <r>
    <n v="679"/>
    <x v="69"/>
    <x v="0"/>
    <x v="142"/>
    <x v="1"/>
    <x v="1"/>
    <x v="0"/>
    <x v="677"/>
  </r>
  <r>
    <n v="680"/>
    <x v="44"/>
    <x v="0"/>
    <x v="45"/>
    <x v="0"/>
    <x v="2"/>
    <x v="0"/>
    <x v="678"/>
  </r>
  <r>
    <n v="681"/>
    <x v="59"/>
    <x v="0"/>
    <x v="94"/>
    <x v="1"/>
    <x v="1"/>
    <x v="0"/>
    <x v="679"/>
  </r>
  <r>
    <n v="682"/>
    <x v="1"/>
    <x v="0"/>
    <x v="24"/>
    <x v="0"/>
    <x v="2"/>
    <x v="2"/>
    <x v="680"/>
  </r>
  <r>
    <n v="683"/>
    <x v="78"/>
    <x v="2"/>
    <x v="10"/>
    <x v="0"/>
    <x v="0"/>
    <x v="0"/>
    <x v="681"/>
  </r>
  <r>
    <n v="684"/>
    <x v="20"/>
    <x v="0"/>
    <x v="168"/>
    <x v="0"/>
    <x v="2"/>
    <x v="2"/>
    <x v="682"/>
  </r>
  <r>
    <n v="685"/>
    <x v="95"/>
    <x v="0"/>
    <x v="62"/>
    <x v="2"/>
    <x v="1"/>
    <x v="0"/>
    <x v="683"/>
  </r>
  <r>
    <n v="686"/>
    <x v="52"/>
    <x v="2"/>
    <x v="142"/>
    <x v="1"/>
    <x v="1"/>
    <x v="1"/>
    <x v="684"/>
  </r>
  <r>
    <n v="687"/>
    <x v="66"/>
    <x v="1"/>
    <x v="168"/>
    <x v="0"/>
    <x v="0"/>
    <x v="0"/>
    <x v="685"/>
  </r>
  <r>
    <n v="688"/>
    <x v="38"/>
    <x v="0"/>
    <x v="47"/>
    <x v="2"/>
    <x v="0"/>
    <x v="2"/>
    <x v="686"/>
  </r>
  <r>
    <n v="689"/>
    <x v="58"/>
    <x v="2"/>
    <x v="107"/>
    <x v="2"/>
    <x v="1"/>
    <x v="2"/>
    <x v="687"/>
  </r>
  <r>
    <n v="690"/>
    <x v="71"/>
    <x v="2"/>
    <x v="138"/>
    <x v="0"/>
    <x v="0"/>
    <x v="1"/>
    <x v="688"/>
  </r>
  <r>
    <n v="691"/>
    <x v="75"/>
    <x v="1"/>
    <x v="76"/>
    <x v="1"/>
    <x v="1"/>
    <x v="2"/>
    <x v="689"/>
  </r>
  <r>
    <n v="692"/>
    <x v="19"/>
    <x v="2"/>
    <x v="47"/>
    <x v="0"/>
    <x v="1"/>
    <x v="1"/>
    <x v="690"/>
  </r>
  <r>
    <n v="693"/>
    <x v="77"/>
    <x v="0"/>
    <x v="43"/>
    <x v="0"/>
    <x v="0"/>
    <x v="2"/>
    <x v="691"/>
  </r>
  <r>
    <n v="694"/>
    <x v="78"/>
    <x v="2"/>
    <x v="179"/>
    <x v="2"/>
    <x v="1"/>
    <x v="2"/>
    <x v="692"/>
  </r>
  <r>
    <n v="695"/>
    <x v="62"/>
    <x v="2"/>
    <x v="104"/>
    <x v="0"/>
    <x v="2"/>
    <x v="0"/>
    <x v="693"/>
  </r>
  <r>
    <n v="696"/>
    <x v="2"/>
    <x v="1"/>
    <x v="34"/>
    <x v="0"/>
    <x v="2"/>
    <x v="0"/>
    <x v="694"/>
  </r>
  <r>
    <n v="697"/>
    <x v="30"/>
    <x v="2"/>
    <x v="60"/>
    <x v="2"/>
    <x v="1"/>
    <x v="2"/>
    <x v="695"/>
  </r>
  <r>
    <n v="698"/>
    <x v="74"/>
    <x v="2"/>
    <x v="27"/>
    <x v="0"/>
    <x v="2"/>
    <x v="0"/>
    <x v="696"/>
  </r>
  <r>
    <n v="699"/>
    <x v="61"/>
    <x v="2"/>
    <x v="30"/>
    <x v="0"/>
    <x v="1"/>
    <x v="1"/>
    <x v="697"/>
  </r>
  <r>
    <n v="700"/>
    <x v="70"/>
    <x v="2"/>
    <x v="145"/>
    <x v="2"/>
    <x v="0"/>
    <x v="2"/>
    <x v="698"/>
  </r>
  <r>
    <n v="701"/>
    <x v="19"/>
    <x v="1"/>
    <x v="132"/>
    <x v="0"/>
    <x v="0"/>
    <x v="2"/>
    <x v="699"/>
  </r>
  <r>
    <n v="702"/>
    <x v="45"/>
    <x v="2"/>
    <x v="104"/>
    <x v="0"/>
    <x v="0"/>
    <x v="0"/>
    <x v="700"/>
  </r>
  <r>
    <n v="703"/>
    <x v="74"/>
    <x v="0"/>
    <x v="120"/>
    <x v="1"/>
    <x v="0"/>
    <x v="1"/>
    <x v="701"/>
  </r>
  <r>
    <n v="704"/>
    <x v="40"/>
    <x v="0"/>
    <x v="72"/>
    <x v="1"/>
    <x v="1"/>
    <x v="0"/>
    <x v="702"/>
  </r>
  <r>
    <n v="705"/>
    <x v="88"/>
    <x v="1"/>
    <x v="89"/>
    <x v="1"/>
    <x v="2"/>
    <x v="1"/>
    <x v="703"/>
  </r>
  <r>
    <n v="706"/>
    <x v="90"/>
    <x v="1"/>
    <x v="52"/>
    <x v="0"/>
    <x v="2"/>
    <x v="0"/>
    <x v="704"/>
  </r>
  <r>
    <n v="707"/>
    <x v="11"/>
    <x v="1"/>
    <x v="59"/>
    <x v="2"/>
    <x v="1"/>
    <x v="1"/>
    <x v="705"/>
  </r>
  <r>
    <n v="708"/>
    <x v="48"/>
    <x v="1"/>
    <x v="135"/>
    <x v="0"/>
    <x v="0"/>
    <x v="2"/>
    <x v="706"/>
  </r>
  <r>
    <n v="709"/>
    <x v="37"/>
    <x v="1"/>
    <x v="46"/>
    <x v="0"/>
    <x v="0"/>
    <x v="1"/>
    <x v="707"/>
  </r>
  <r>
    <n v="710"/>
    <x v="75"/>
    <x v="2"/>
    <x v="43"/>
    <x v="2"/>
    <x v="2"/>
    <x v="0"/>
    <x v="708"/>
  </r>
  <r>
    <n v="711"/>
    <x v="36"/>
    <x v="2"/>
    <x v="116"/>
    <x v="1"/>
    <x v="0"/>
    <x v="2"/>
    <x v="709"/>
  </r>
  <r>
    <n v="712"/>
    <x v="14"/>
    <x v="0"/>
    <x v="132"/>
    <x v="2"/>
    <x v="0"/>
    <x v="0"/>
    <x v="710"/>
  </r>
  <r>
    <n v="713"/>
    <x v="36"/>
    <x v="0"/>
    <x v="110"/>
    <x v="1"/>
    <x v="1"/>
    <x v="1"/>
    <x v="711"/>
  </r>
  <r>
    <n v="714"/>
    <x v="65"/>
    <x v="2"/>
    <x v="31"/>
    <x v="0"/>
    <x v="0"/>
    <x v="0"/>
    <x v="712"/>
  </r>
  <r>
    <n v="715"/>
    <x v="60"/>
    <x v="1"/>
    <x v="172"/>
    <x v="2"/>
    <x v="2"/>
    <x v="2"/>
    <x v="713"/>
  </r>
  <r>
    <n v="716"/>
    <x v="11"/>
    <x v="0"/>
    <x v="95"/>
    <x v="2"/>
    <x v="0"/>
    <x v="0"/>
    <x v="714"/>
  </r>
  <r>
    <n v="717"/>
    <x v="2"/>
    <x v="2"/>
    <x v="180"/>
    <x v="1"/>
    <x v="0"/>
    <x v="2"/>
    <x v="715"/>
  </r>
  <r>
    <n v="718"/>
    <x v="20"/>
    <x v="2"/>
    <x v="35"/>
    <x v="1"/>
    <x v="0"/>
    <x v="1"/>
    <x v="716"/>
  </r>
  <r>
    <n v="719"/>
    <x v="78"/>
    <x v="2"/>
    <x v="30"/>
    <x v="1"/>
    <x v="0"/>
    <x v="2"/>
    <x v="717"/>
  </r>
  <r>
    <n v="720"/>
    <x v="72"/>
    <x v="1"/>
    <x v="72"/>
    <x v="1"/>
    <x v="2"/>
    <x v="2"/>
    <x v="718"/>
  </r>
  <r>
    <n v="721"/>
    <x v="63"/>
    <x v="2"/>
    <x v="1"/>
    <x v="0"/>
    <x v="2"/>
    <x v="2"/>
    <x v="719"/>
  </r>
  <r>
    <n v="722"/>
    <x v="79"/>
    <x v="0"/>
    <x v="46"/>
    <x v="1"/>
    <x v="0"/>
    <x v="2"/>
    <x v="720"/>
  </r>
  <r>
    <n v="723"/>
    <x v="26"/>
    <x v="0"/>
    <x v="99"/>
    <x v="1"/>
    <x v="1"/>
    <x v="0"/>
    <x v="721"/>
  </r>
  <r>
    <n v="724"/>
    <x v="27"/>
    <x v="0"/>
    <x v="90"/>
    <x v="2"/>
    <x v="2"/>
    <x v="2"/>
    <x v="722"/>
  </r>
  <r>
    <n v="725"/>
    <x v="0"/>
    <x v="2"/>
    <x v="57"/>
    <x v="2"/>
    <x v="0"/>
    <x v="0"/>
    <x v="723"/>
  </r>
  <r>
    <n v="726"/>
    <x v="34"/>
    <x v="2"/>
    <x v="10"/>
    <x v="2"/>
    <x v="1"/>
    <x v="1"/>
    <x v="724"/>
  </r>
  <r>
    <n v="727"/>
    <x v="32"/>
    <x v="1"/>
    <x v="79"/>
    <x v="2"/>
    <x v="0"/>
    <x v="1"/>
    <x v="725"/>
  </r>
  <r>
    <n v="728"/>
    <x v="44"/>
    <x v="0"/>
    <x v="156"/>
    <x v="0"/>
    <x v="1"/>
    <x v="2"/>
    <x v="726"/>
  </r>
  <r>
    <n v="729"/>
    <x v="14"/>
    <x v="0"/>
    <x v="161"/>
    <x v="0"/>
    <x v="2"/>
    <x v="2"/>
    <x v="727"/>
  </r>
  <r>
    <n v="730"/>
    <x v="49"/>
    <x v="0"/>
    <x v="130"/>
    <x v="2"/>
    <x v="0"/>
    <x v="1"/>
    <x v="728"/>
  </r>
  <r>
    <n v="731"/>
    <x v="90"/>
    <x v="2"/>
    <x v="147"/>
    <x v="0"/>
    <x v="2"/>
    <x v="2"/>
    <x v="729"/>
  </r>
  <r>
    <n v="732"/>
    <x v="63"/>
    <x v="0"/>
    <x v="90"/>
    <x v="1"/>
    <x v="0"/>
    <x v="1"/>
    <x v="730"/>
  </r>
  <r>
    <n v="733"/>
    <x v="17"/>
    <x v="1"/>
    <x v="58"/>
    <x v="2"/>
    <x v="2"/>
    <x v="2"/>
    <x v="731"/>
  </r>
  <r>
    <n v="734"/>
    <x v="6"/>
    <x v="1"/>
    <x v="179"/>
    <x v="2"/>
    <x v="2"/>
    <x v="1"/>
    <x v="732"/>
  </r>
  <r>
    <n v="735"/>
    <x v="23"/>
    <x v="0"/>
    <x v="123"/>
    <x v="2"/>
    <x v="1"/>
    <x v="2"/>
    <x v="733"/>
  </r>
  <r>
    <n v="736"/>
    <x v="16"/>
    <x v="1"/>
    <x v="65"/>
    <x v="0"/>
    <x v="0"/>
    <x v="1"/>
    <x v="734"/>
  </r>
  <r>
    <n v="737"/>
    <x v="92"/>
    <x v="0"/>
    <x v="117"/>
    <x v="0"/>
    <x v="2"/>
    <x v="0"/>
    <x v="735"/>
  </r>
  <r>
    <n v="738"/>
    <x v="18"/>
    <x v="0"/>
    <x v="129"/>
    <x v="1"/>
    <x v="0"/>
    <x v="2"/>
    <x v="736"/>
  </r>
  <r>
    <n v="739"/>
    <x v="56"/>
    <x v="2"/>
    <x v="83"/>
    <x v="0"/>
    <x v="2"/>
    <x v="2"/>
    <x v="737"/>
  </r>
  <r>
    <n v="740"/>
    <x v="37"/>
    <x v="1"/>
    <x v="87"/>
    <x v="1"/>
    <x v="2"/>
    <x v="2"/>
    <x v="738"/>
  </r>
  <r>
    <n v="741"/>
    <x v="73"/>
    <x v="2"/>
    <x v="86"/>
    <x v="1"/>
    <x v="0"/>
    <x v="0"/>
    <x v="739"/>
  </r>
  <r>
    <n v="742"/>
    <x v="30"/>
    <x v="2"/>
    <x v="34"/>
    <x v="1"/>
    <x v="1"/>
    <x v="1"/>
    <x v="740"/>
  </r>
  <r>
    <n v="743"/>
    <x v="60"/>
    <x v="2"/>
    <x v="100"/>
    <x v="1"/>
    <x v="0"/>
    <x v="2"/>
    <x v="741"/>
  </r>
  <r>
    <n v="744"/>
    <x v="8"/>
    <x v="2"/>
    <x v="174"/>
    <x v="0"/>
    <x v="0"/>
    <x v="2"/>
    <x v="742"/>
  </r>
  <r>
    <n v="745"/>
    <x v="62"/>
    <x v="2"/>
    <x v="12"/>
    <x v="1"/>
    <x v="2"/>
    <x v="0"/>
    <x v="743"/>
  </r>
  <r>
    <n v="746"/>
    <x v="57"/>
    <x v="0"/>
    <x v="66"/>
    <x v="0"/>
    <x v="0"/>
    <x v="2"/>
    <x v="744"/>
  </r>
  <r>
    <n v="747"/>
    <x v="46"/>
    <x v="2"/>
    <x v="114"/>
    <x v="2"/>
    <x v="0"/>
    <x v="0"/>
    <x v="745"/>
  </r>
  <r>
    <n v="748"/>
    <x v="70"/>
    <x v="2"/>
    <x v="40"/>
    <x v="1"/>
    <x v="2"/>
    <x v="2"/>
    <x v="746"/>
  </r>
  <r>
    <n v="749"/>
    <x v="35"/>
    <x v="1"/>
    <x v="173"/>
    <x v="0"/>
    <x v="0"/>
    <x v="0"/>
    <x v="747"/>
  </r>
  <r>
    <n v="750"/>
    <x v="39"/>
    <x v="1"/>
    <x v="37"/>
    <x v="2"/>
    <x v="2"/>
    <x v="2"/>
    <x v="748"/>
  </r>
  <r>
    <n v="751"/>
    <x v="24"/>
    <x v="1"/>
    <x v="64"/>
    <x v="0"/>
    <x v="0"/>
    <x v="2"/>
    <x v="749"/>
  </r>
  <r>
    <n v="752"/>
    <x v="18"/>
    <x v="1"/>
    <x v="165"/>
    <x v="2"/>
    <x v="2"/>
    <x v="1"/>
    <x v="750"/>
  </r>
  <r>
    <n v="753"/>
    <x v="64"/>
    <x v="2"/>
    <x v="146"/>
    <x v="2"/>
    <x v="1"/>
    <x v="0"/>
    <x v="751"/>
  </r>
  <r>
    <n v="754"/>
    <x v="5"/>
    <x v="0"/>
    <x v="24"/>
    <x v="0"/>
    <x v="0"/>
    <x v="2"/>
    <x v="752"/>
  </r>
  <r>
    <n v="755"/>
    <x v="7"/>
    <x v="2"/>
    <x v="180"/>
    <x v="0"/>
    <x v="1"/>
    <x v="2"/>
    <x v="753"/>
  </r>
  <r>
    <n v="756"/>
    <x v="72"/>
    <x v="1"/>
    <x v="144"/>
    <x v="0"/>
    <x v="0"/>
    <x v="2"/>
    <x v="754"/>
  </r>
  <r>
    <n v="757"/>
    <x v="95"/>
    <x v="1"/>
    <x v="127"/>
    <x v="2"/>
    <x v="2"/>
    <x v="2"/>
    <x v="755"/>
  </r>
  <r>
    <n v="758"/>
    <x v="31"/>
    <x v="2"/>
    <x v="25"/>
    <x v="1"/>
    <x v="2"/>
    <x v="1"/>
    <x v="756"/>
  </r>
  <r>
    <n v="759"/>
    <x v="95"/>
    <x v="2"/>
    <x v="37"/>
    <x v="2"/>
    <x v="2"/>
    <x v="2"/>
    <x v="757"/>
  </r>
  <r>
    <n v="760"/>
    <x v="49"/>
    <x v="0"/>
    <x v="112"/>
    <x v="2"/>
    <x v="1"/>
    <x v="2"/>
    <x v="758"/>
  </r>
  <r>
    <n v="761"/>
    <x v="19"/>
    <x v="1"/>
    <x v="134"/>
    <x v="0"/>
    <x v="1"/>
    <x v="1"/>
    <x v="759"/>
  </r>
  <r>
    <n v="762"/>
    <x v="60"/>
    <x v="2"/>
    <x v="2"/>
    <x v="1"/>
    <x v="1"/>
    <x v="2"/>
    <x v="760"/>
  </r>
  <r>
    <n v="763"/>
    <x v="63"/>
    <x v="2"/>
    <x v="39"/>
    <x v="0"/>
    <x v="0"/>
    <x v="1"/>
    <x v="761"/>
  </r>
  <r>
    <n v="764"/>
    <x v="95"/>
    <x v="0"/>
    <x v="1"/>
    <x v="1"/>
    <x v="0"/>
    <x v="0"/>
    <x v="762"/>
  </r>
  <r>
    <n v="765"/>
    <x v="55"/>
    <x v="0"/>
    <x v="1"/>
    <x v="0"/>
    <x v="0"/>
    <x v="0"/>
    <x v="763"/>
  </r>
  <r>
    <n v="766"/>
    <x v="33"/>
    <x v="2"/>
    <x v="86"/>
    <x v="0"/>
    <x v="2"/>
    <x v="0"/>
    <x v="764"/>
  </r>
  <r>
    <n v="767"/>
    <x v="18"/>
    <x v="0"/>
    <x v="37"/>
    <x v="0"/>
    <x v="0"/>
    <x v="1"/>
    <x v="765"/>
  </r>
  <r>
    <n v="768"/>
    <x v="28"/>
    <x v="2"/>
    <x v="80"/>
    <x v="1"/>
    <x v="2"/>
    <x v="0"/>
    <x v="766"/>
  </r>
  <r>
    <n v="769"/>
    <x v="64"/>
    <x v="0"/>
    <x v="43"/>
    <x v="0"/>
    <x v="0"/>
    <x v="0"/>
    <x v="767"/>
  </r>
  <r>
    <n v="770"/>
    <x v="58"/>
    <x v="0"/>
    <x v="39"/>
    <x v="2"/>
    <x v="2"/>
    <x v="0"/>
    <x v="768"/>
  </r>
  <r>
    <n v="771"/>
    <x v="62"/>
    <x v="0"/>
    <x v="24"/>
    <x v="1"/>
    <x v="1"/>
    <x v="2"/>
    <x v="769"/>
  </r>
  <r>
    <n v="772"/>
    <x v="61"/>
    <x v="2"/>
    <x v="48"/>
    <x v="2"/>
    <x v="1"/>
    <x v="2"/>
    <x v="770"/>
  </r>
  <r>
    <n v="773"/>
    <x v="89"/>
    <x v="1"/>
    <x v="132"/>
    <x v="0"/>
    <x v="0"/>
    <x v="1"/>
    <x v="771"/>
  </r>
  <r>
    <n v="774"/>
    <x v="52"/>
    <x v="0"/>
    <x v="127"/>
    <x v="2"/>
    <x v="1"/>
    <x v="2"/>
    <x v="772"/>
  </r>
  <r>
    <n v="775"/>
    <x v="48"/>
    <x v="2"/>
    <x v="73"/>
    <x v="2"/>
    <x v="0"/>
    <x v="0"/>
    <x v="132"/>
  </r>
  <r>
    <n v="776"/>
    <x v="90"/>
    <x v="0"/>
    <x v="133"/>
    <x v="2"/>
    <x v="0"/>
    <x v="1"/>
    <x v="773"/>
  </r>
  <r>
    <n v="777"/>
    <x v="82"/>
    <x v="1"/>
    <x v="76"/>
    <x v="0"/>
    <x v="2"/>
    <x v="0"/>
    <x v="774"/>
  </r>
  <r>
    <n v="778"/>
    <x v="49"/>
    <x v="1"/>
    <x v="94"/>
    <x v="0"/>
    <x v="1"/>
    <x v="2"/>
    <x v="775"/>
  </r>
  <r>
    <n v="779"/>
    <x v="51"/>
    <x v="0"/>
    <x v="125"/>
    <x v="1"/>
    <x v="1"/>
    <x v="2"/>
    <x v="776"/>
  </r>
  <r>
    <n v="780"/>
    <x v="18"/>
    <x v="1"/>
    <x v="136"/>
    <x v="2"/>
    <x v="0"/>
    <x v="2"/>
    <x v="777"/>
  </r>
  <r>
    <n v="781"/>
    <x v="3"/>
    <x v="2"/>
    <x v="147"/>
    <x v="0"/>
    <x v="0"/>
    <x v="2"/>
    <x v="778"/>
  </r>
  <r>
    <n v="782"/>
    <x v="32"/>
    <x v="1"/>
    <x v="30"/>
    <x v="1"/>
    <x v="2"/>
    <x v="0"/>
    <x v="779"/>
  </r>
  <r>
    <n v="783"/>
    <x v="43"/>
    <x v="2"/>
    <x v="135"/>
    <x v="1"/>
    <x v="2"/>
    <x v="1"/>
    <x v="780"/>
  </r>
  <r>
    <n v="784"/>
    <x v="47"/>
    <x v="1"/>
    <x v="132"/>
    <x v="2"/>
    <x v="2"/>
    <x v="1"/>
    <x v="781"/>
  </r>
  <r>
    <n v="785"/>
    <x v="16"/>
    <x v="2"/>
    <x v="158"/>
    <x v="2"/>
    <x v="2"/>
    <x v="0"/>
    <x v="782"/>
  </r>
  <r>
    <n v="786"/>
    <x v="88"/>
    <x v="2"/>
    <x v="62"/>
    <x v="2"/>
    <x v="0"/>
    <x v="1"/>
    <x v="783"/>
  </r>
  <r>
    <n v="787"/>
    <x v="36"/>
    <x v="1"/>
    <x v="142"/>
    <x v="2"/>
    <x v="0"/>
    <x v="2"/>
    <x v="784"/>
  </r>
  <r>
    <n v="788"/>
    <x v="70"/>
    <x v="0"/>
    <x v="75"/>
    <x v="0"/>
    <x v="1"/>
    <x v="1"/>
    <x v="785"/>
  </r>
  <r>
    <n v="789"/>
    <x v="88"/>
    <x v="0"/>
    <x v="65"/>
    <x v="2"/>
    <x v="0"/>
    <x v="1"/>
    <x v="786"/>
  </r>
  <r>
    <n v="790"/>
    <x v="25"/>
    <x v="0"/>
    <x v="46"/>
    <x v="1"/>
    <x v="1"/>
    <x v="2"/>
    <x v="787"/>
  </r>
  <r>
    <n v="791"/>
    <x v="91"/>
    <x v="1"/>
    <x v="148"/>
    <x v="2"/>
    <x v="0"/>
    <x v="1"/>
    <x v="788"/>
  </r>
  <r>
    <n v="792"/>
    <x v="66"/>
    <x v="1"/>
    <x v="54"/>
    <x v="1"/>
    <x v="0"/>
    <x v="2"/>
    <x v="789"/>
  </r>
  <r>
    <n v="793"/>
    <x v="37"/>
    <x v="1"/>
    <x v="101"/>
    <x v="0"/>
    <x v="2"/>
    <x v="0"/>
    <x v="790"/>
  </r>
  <r>
    <n v="794"/>
    <x v="18"/>
    <x v="0"/>
    <x v="113"/>
    <x v="1"/>
    <x v="1"/>
    <x v="1"/>
    <x v="791"/>
  </r>
  <r>
    <n v="795"/>
    <x v="64"/>
    <x v="0"/>
    <x v="49"/>
    <x v="1"/>
    <x v="0"/>
    <x v="1"/>
    <x v="792"/>
  </r>
  <r>
    <n v="796"/>
    <x v="64"/>
    <x v="0"/>
    <x v="12"/>
    <x v="0"/>
    <x v="0"/>
    <x v="0"/>
    <x v="793"/>
  </r>
  <r>
    <n v="797"/>
    <x v="41"/>
    <x v="2"/>
    <x v="82"/>
    <x v="2"/>
    <x v="2"/>
    <x v="0"/>
    <x v="794"/>
  </r>
  <r>
    <n v="798"/>
    <x v="72"/>
    <x v="1"/>
    <x v="122"/>
    <x v="0"/>
    <x v="1"/>
    <x v="0"/>
    <x v="679"/>
  </r>
  <r>
    <n v="799"/>
    <x v="12"/>
    <x v="0"/>
    <x v="32"/>
    <x v="0"/>
    <x v="2"/>
    <x v="2"/>
    <x v="795"/>
  </r>
  <r>
    <n v="800"/>
    <x v="83"/>
    <x v="2"/>
    <x v="147"/>
    <x v="1"/>
    <x v="0"/>
    <x v="1"/>
    <x v="796"/>
  </r>
  <r>
    <n v="801"/>
    <x v="72"/>
    <x v="2"/>
    <x v="176"/>
    <x v="2"/>
    <x v="2"/>
    <x v="0"/>
    <x v="797"/>
  </r>
  <r>
    <n v="802"/>
    <x v="56"/>
    <x v="1"/>
    <x v="127"/>
    <x v="0"/>
    <x v="2"/>
    <x v="0"/>
    <x v="798"/>
  </r>
  <r>
    <n v="803"/>
    <x v="57"/>
    <x v="0"/>
    <x v="146"/>
    <x v="1"/>
    <x v="1"/>
    <x v="0"/>
    <x v="799"/>
  </r>
  <r>
    <n v="804"/>
    <x v="21"/>
    <x v="0"/>
    <x v="34"/>
    <x v="2"/>
    <x v="0"/>
    <x v="0"/>
    <x v="800"/>
  </r>
  <r>
    <n v="805"/>
    <x v="84"/>
    <x v="1"/>
    <x v="181"/>
    <x v="2"/>
    <x v="2"/>
    <x v="2"/>
    <x v="801"/>
  </r>
  <r>
    <n v="806"/>
    <x v="48"/>
    <x v="1"/>
    <x v="74"/>
    <x v="1"/>
    <x v="1"/>
    <x v="2"/>
    <x v="802"/>
  </r>
  <r>
    <n v="807"/>
    <x v="66"/>
    <x v="2"/>
    <x v="126"/>
    <x v="2"/>
    <x v="0"/>
    <x v="1"/>
    <x v="803"/>
  </r>
  <r>
    <n v="808"/>
    <x v="66"/>
    <x v="2"/>
    <x v="132"/>
    <x v="0"/>
    <x v="0"/>
    <x v="0"/>
    <x v="804"/>
  </r>
  <r>
    <n v="809"/>
    <x v="59"/>
    <x v="0"/>
    <x v="130"/>
    <x v="2"/>
    <x v="0"/>
    <x v="0"/>
    <x v="805"/>
  </r>
  <r>
    <n v="810"/>
    <x v="72"/>
    <x v="1"/>
    <x v="70"/>
    <x v="0"/>
    <x v="1"/>
    <x v="2"/>
    <x v="806"/>
  </r>
  <r>
    <n v="811"/>
    <x v="40"/>
    <x v="1"/>
    <x v="28"/>
    <x v="2"/>
    <x v="2"/>
    <x v="0"/>
    <x v="807"/>
  </r>
  <r>
    <n v="812"/>
    <x v="79"/>
    <x v="0"/>
    <x v="176"/>
    <x v="1"/>
    <x v="1"/>
    <x v="1"/>
    <x v="808"/>
  </r>
  <r>
    <n v="813"/>
    <x v="57"/>
    <x v="1"/>
    <x v="19"/>
    <x v="2"/>
    <x v="0"/>
    <x v="0"/>
    <x v="809"/>
  </r>
  <r>
    <n v="814"/>
    <x v="37"/>
    <x v="0"/>
    <x v="34"/>
    <x v="0"/>
    <x v="0"/>
    <x v="2"/>
    <x v="810"/>
  </r>
  <r>
    <n v="815"/>
    <x v="38"/>
    <x v="0"/>
    <x v="115"/>
    <x v="2"/>
    <x v="2"/>
    <x v="0"/>
    <x v="811"/>
  </r>
  <r>
    <n v="816"/>
    <x v="45"/>
    <x v="1"/>
    <x v="127"/>
    <x v="2"/>
    <x v="0"/>
    <x v="2"/>
    <x v="812"/>
  </r>
  <r>
    <n v="817"/>
    <x v="71"/>
    <x v="0"/>
    <x v="141"/>
    <x v="1"/>
    <x v="1"/>
    <x v="1"/>
    <x v="813"/>
  </r>
  <r>
    <n v="818"/>
    <x v="81"/>
    <x v="1"/>
    <x v="18"/>
    <x v="0"/>
    <x v="1"/>
    <x v="0"/>
    <x v="814"/>
  </r>
  <r>
    <n v="819"/>
    <x v="16"/>
    <x v="2"/>
    <x v="161"/>
    <x v="2"/>
    <x v="1"/>
    <x v="1"/>
    <x v="815"/>
  </r>
  <r>
    <n v="820"/>
    <x v="69"/>
    <x v="1"/>
    <x v="21"/>
    <x v="0"/>
    <x v="1"/>
    <x v="2"/>
    <x v="816"/>
  </r>
  <r>
    <n v="821"/>
    <x v="38"/>
    <x v="2"/>
    <x v="177"/>
    <x v="2"/>
    <x v="2"/>
    <x v="0"/>
    <x v="817"/>
  </r>
  <r>
    <n v="822"/>
    <x v="70"/>
    <x v="1"/>
    <x v="10"/>
    <x v="0"/>
    <x v="2"/>
    <x v="2"/>
    <x v="818"/>
  </r>
  <r>
    <n v="823"/>
    <x v="86"/>
    <x v="2"/>
    <x v="96"/>
    <x v="1"/>
    <x v="0"/>
    <x v="1"/>
    <x v="819"/>
  </r>
  <r>
    <n v="824"/>
    <x v="10"/>
    <x v="0"/>
    <x v="145"/>
    <x v="0"/>
    <x v="0"/>
    <x v="1"/>
    <x v="820"/>
  </r>
  <r>
    <n v="825"/>
    <x v="97"/>
    <x v="1"/>
    <x v="7"/>
    <x v="0"/>
    <x v="2"/>
    <x v="1"/>
    <x v="821"/>
  </r>
  <r>
    <n v="826"/>
    <x v="59"/>
    <x v="2"/>
    <x v="7"/>
    <x v="0"/>
    <x v="0"/>
    <x v="2"/>
    <x v="822"/>
  </r>
  <r>
    <n v="827"/>
    <x v="71"/>
    <x v="2"/>
    <x v="45"/>
    <x v="0"/>
    <x v="0"/>
    <x v="2"/>
    <x v="823"/>
  </r>
  <r>
    <n v="828"/>
    <x v="26"/>
    <x v="1"/>
    <x v="165"/>
    <x v="2"/>
    <x v="1"/>
    <x v="2"/>
    <x v="824"/>
  </r>
  <r>
    <n v="829"/>
    <x v="7"/>
    <x v="2"/>
    <x v="123"/>
    <x v="1"/>
    <x v="1"/>
    <x v="1"/>
    <x v="825"/>
  </r>
  <r>
    <n v="830"/>
    <x v="41"/>
    <x v="2"/>
    <x v="159"/>
    <x v="2"/>
    <x v="2"/>
    <x v="0"/>
    <x v="826"/>
  </r>
  <r>
    <n v="831"/>
    <x v="89"/>
    <x v="0"/>
    <x v="39"/>
    <x v="1"/>
    <x v="1"/>
    <x v="2"/>
    <x v="827"/>
  </r>
  <r>
    <n v="832"/>
    <x v="90"/>
    <x v="2"/>
    <x v="111"/>
    <x v="2"/>
    <x v="1"/>
    <x v="1"/>
    <x v="828"/>
  </r>
  <r>
    <n v="833"/>
    <x v="7"/>
    <x v="2"/>
    <x v="2"/>
    <x v="0"/>
    <x v="0"/>
    <x v="0"/>
    <x v="829"/>
  </r>
  <r>
    <n v="834"/>
    <x v="75"/>
    <x v="0"/>
    <x v="135"/>
    <x v="1"/>
    <x v="2"/>
    <x v="1"/>
    <x v="830"/>
  </r>
  <r>
    <n v="835"/>
    <x v="53"/>
    <x v="1"/>
    <x v="23"/>
    <x v="2"/>
    <x v="1"/>
    <x v="1"/>
    <x v="831"/>
  </r>
  <r>
    <n v="836"/>
    <x v="77"/>
    <x v="0"/>
    <x v="12"/>
    <x v="2"/>
    <x v="1"/>
    <x v="1"/>
    <x v="832"/>
  </r>
  <r>
    <n v="837"/>
    <x v="8"/>
    <x v="1"/>
    <x v="46"/>
    <x v="2"/>
    <x v="0"/>
    <x v="2"/>
    <x v="833"/>
  </r>
  <r>
    <n v="838"/>
    <x v="79"/>
    <x v="0"/>
    <x v="152"/>
    <x v="2"/>
    <x v="1"/>
    <x v="1"/>
    <x v="834"/>
  </r>
  <r>
    <n v="839"/>
    <x v="97"/>
    <x v="2"/>
    <x v="4"/>
    <x v="2"/>
    <x v="1"/>
    <x v="1"/>
    <x v="835"/>
  </r>
  <r>
    <n v="840"/>
    <x v="77"/>
    <x v="0"/>
    <x v="179"/>
    <x v="2"/>
    <x v="2"/>
    <x v="1"/>
    <x v="836"/>
  </r>
  <r>
    <n v="841"/>
    <x v="33"/>
    <x v="0"/>
    <x v="75"/>
    <x v="0"/>
    <x v="0"/>
    <x v="2"/>
    <x v="837"/>
  </r>
  <r>
    <n v="842"/>
    <x v="96"/>
    <x v="1"/>
    <x v="24"/>
    <x v="2"/>
    <x v="0"/>
    <x v="1"/>
    <x v="838"/>
  </r>
  <r>
    <n v="843"/>
    <x v="62"/>
    <x v="1"/>
    <x v="26"/>
    <x v="2"/>
    <x v="2"/>
    <x v="0"/>
    <x v="839"/>
  </r>
  <r>
    <n v="844"/>
    <x v="64"/>
    <x v="0"/>
    <x v="47"/>
    <x v="0"/>
    <x v="1"/>
    <x v="1"/>
    <x v="840"/>
  </r>
  <r>
    <n v="845"/>
    <x v="98"/>
    <x v="2"/>
    <x v="140"/>
    <x v="0"/>
    <x v="2"/>
    <x v="1"/>
    <x v="841"/>
  </r>
  <r>
    <n v="846"/>
    <x v="28"/>
    <x v="0"/>
    <x v="33"/>
    <x v="1"/>
    <x v="0"/>
    <x v="2"/>
    <x v="842"/>
  </r>
  <r>
    <n v="847"/>
    <x v="20"/>
    <x v="1"/>
    <x v="112"/>
    <x v="0"/>
    <x v="2"/>
    <x v="0"/>
    <x v="843"/>
  </r>
  <r>
    <n v="848"/>
    <x v="17"/>
    <x v="1"/>
    <x v="67"/>
    <x v="0"/>
    <x v="1"/>
    <x v="0"/>
    <x v="844"/>
  </r>
  <r>
    <n v="849"/>
    <x v="68"/>
    <x v="2"/>
    <x v="178"/>
    <x v="0"/>
    <x v="1"/>
    <x v="0"/>
    <x v="845"/>
  </r>
  <r>
    <n v="850"/>
    <x v="3"/>
    <x v="0"/>
    <x v="62"/>
    <x v="0"/>
    <x v="2"/>
    <x v="1"/>
    <x v="846"/>
  </r>
  <r>
    <n v="851"/>
    <x v="77"/>
    <x v="1"/>
    <x v="88"/>
    <x v="0"/>
    <x v="2"/>
    <x v="1"/>
    <x v="847"/>
  </r>
  <r>
    <n v="852"/>
    <x v="40"/>
    <x v="1"/>
    <x v="85"/>
    <x v="1"/>
    <x v="2"/>
    <x v="0"/>
    <x v="848"/>
  </r>
  <r>
    <n v="853"/>
    <x v="31"/>
    <x v="0"/>
    <x v="128"/>
    <x v="2"/>
    <x v="2"/>
    <x v="1"/>
    <x v="849"/>
  </r>
  <r>
    <n v="854"/>
    <x v="4"/>
    <x v="1"/>
    <x v="70"/>
    <x v="2"/>
    <x v="0"/>
    <x v="0"/>
    <x v="850"/>
  </r>
  <r>
    <n v="855"/>
    <x v="49"/>
    <x v="2"/>
    <x v="139"/>
    <x v="0"/>
    <x v="1"/>
    <x v="0"/>
    <x v="851"/>
  </r>
  <r>
    <n v="856"/>
    <x v="9"/>
    <x v="0"/>
    <x v="84"/>
    <x v="2"/>
    <x v="1"/>
    <x v="2"/>
    <x v="852"/>
  </r>
  <r>
    <n v="857"/>
    <x v="33"/>
    <x v="1"/>
    <x v="81"/>
    <x v="0"/>
    <x v="2"/>
    <x v="1"/>
    <x v="853"/>
  </r>
  <r>
    <n v="858"/>
    <x v="30"/>
    <x v="0"/>
    <x v="165"/>
    <x v="2"/>
    <x v="0"/>
    <x v="0"/>
    <x v="854"/>
  </r>
  <r>
    <n v="859"/>
    <x v="26"/>
    <x v="2"/>
    <x v="92"/>
    <x v="1"/>
    <x v="0"/>
    <x v="2"/>
    <x v="855"/>
  </r>
  <r>
    <n v="860"/>
    <x v="3"/>
    <x v="0"/>
    <x v="62"/>
    <x v="0"/>
    <x v="2"/>
    <x v="0"/>
    <x v="856"/>
  </r>
  <r>
    <n v="861"/>
    <x v="30"/>
    <x v="0"/>
    <x v="50"/>
    <x v="2"/>
    <x v="1"/>
    <x v="1"/>
    <x v="857"/>
  </r>
  <r>
    <n v="862"/>
    <x v="16"/>
    <x v="0"/>
    <x v="179"/>
    <x v="0"/>
    <x v="1"/>
    <x v="0"/>
    <x v="858"/>
  </r>
  <r>
    <n v="863"/>
    <x v="92"/>
    <x v="1"/>
    <x v="168"/>
    <x v="2"/>
    <x v="1"/>
    <x v="1"/>
    <x v="859"/>
  </r>
  <r>
    <n v="864"/>
    <x v="77"/>
    <x v="2"/>
    <x v="41"/>
    <x v="0"/>
    <x v="1"/>
    <x v="2"/>
    <x v="860"/>
  </r>
  <r>
    <n v="865"/>
    <x v="62"/>
    <x v="0"/>
    <x v="152"/>
    <x v="2"/>
    <x v="1"/>
    <x v="0"/>
    <x v="861"/>
  </r>
  <r>
    <n v="866"/>
    <x v="66"/>
    <x v="2"/>
    <x v="78"/>
    <x v="2"/>
    <x v="0"/>
    <x v="0"/>
    <x v="862"/>
  </r>
  <r>
    <n v="867"/>
    <x v="39"/>
    <x v="2"/>
    <x v="168"/>
    <x v="2"/>
    <x v="0"/>
    <x v="1"/>
    <x v="863"/>
  </r>
  <r>
    <n v="868"/>
    <x v="83"/>
    <x v="2"/>
    <x v="122"/>
    <x v="2"/>
    <x v="1"/>
    <x v="2"/>
    <x v="864"/>
  </r>
  <r>
    <n v="869"/>
    <x v="99"/>
    <x v="1"/>
    <x v="32"/>
    <x v="2"/>
    <x v="1"/>
    <x v="2"/>
    <x v="865"/>
  </r>
  <r>
    <n v="870"/>
    <x v="22"/>
    <x v="0"/>
    <x v="129"/>
    <x v="1"/>
    <x v="1"/>
    <x v="0"/>
    <x v="866"/>
  </r>
  <r>
    <n v="871"/>
    <x v="82"/>
    <x v="0"/>
    <x v="155"/>
    <x v="2"/>
    <x v="1"/>
    <x v="2"/>
    <x v="867"/>
  </r>
  <r>
    <n v="872"/>
    <x v="61"/>
    <x v="1"/>
    <x v="56"/>
    <x v="1"/>
    <x v="0"/>
    <x v="1"/>
    <x v="868"/>
  </r>
  <r>
    <n v="873"/>
    <x v="44"/>
    <x v="1"/>
    <x v="134"/>
    <x v="2"/>
    <x v="1"/>
    <x v="0"/>
    <x v="869"/>
  </r>
  <r>
    <n v="874"/>
    <x v="61"/>
    <x v="2"/>
    <x v="91"/>
    <x v="2"/>
    <x v="1"/>
    <x v="0"/>
    <x v="870"/>
  </r>
  <r>
    <n v="875"/>
    <x v="18"/>
    <x v="0"/>
    <x v="153"/>
    <x v="0"/>
    <x v="2"/>
    <x v="2"/>
    <x v="871"/>
  </r>
  <r>
    <n v="876"/>
    <x v="49"/>
    <x v="2"/>
    <x v="141"/>
    <x v="2"/>
    <x v="1"/>
    <x v="2"/>
    <x v="872"/>
  </r>
  <r>
    <n v="877"/>
    <x v="19"/>
    <x v="0"/>
    <x v="83"/>
    <x v="0"/>
    <x v="0"/>
    <x v="1"/>
    <x v="873"/>
  </r>
  <r>
    <n v="878"/>
    <x v="21"/>
    <x v="1"/>
    <x v="56"/>
    <x v="1"/>
    <x v="1"/>
    <x v="1"/>
    <x v="874"/>
  </r>
  <r>
    <n v="879"/>
    <x v="90"/>
    <x v="0"/>
    <x v="35"/>
    <x v="1"/>
    <x v="2"/>
    <x v="2"/>
    <x v="875"/>
  </r>
  <r>
    <n v="880"/>
    <x v="73"/>
    <x v="2"/>
    <x v="91"/>
    <x v="2"/>
    <x v="0"/>
    <x v="0"/>
    <x v="876"/>
  </r>
  <r>
    <n v="881"/>
    <x v="97"/>
    <x v="1"/>
    <x v="65"/>
    <x v="1"/>
    <x v="0"/>
    <x v="1"/>
    <x v="877"/>
  </r>
  <r>
    <n v="882"/>
    <x v="22"/>
    <x v="1"/>
    <x v="16"/>
    <x v="0"/>
    <x v="2"/>
    <x v="1"/>
    <x v="878"/>
  </r>
  <r>
    <n v="883"/>
    <x v="52"/>
    <x v="1"/>
    <x v="0"/>
    <x v="0"/>
    <x v="0"/>
    <x v="0"/>
    <x v="879"/>
  </r>
  <r>
    <n v="884"/>
    <x v="75"/>
    <x v="2"/>
    <x v="71"/>
    <x v="1"/>
    <x v="0"/>
    <x v="2"/>
    <x v="880"/>
  </r>
  <r>
    <n v="885"/>
    <x v="17"/>
    <x v="2"/>
    <x v="98"/>
    <x v="2"/>
    <x v="1"/>
    <x v="0"/>
    <x v="881"/>
  </r>
  <r>
    <n v="886"/>
    <x v="75"/>
    <x v="0"/>
    <x v="149"/>
    <x v="2"/>
    <x v="0"/>
    <x v="0"/>
    <x v="882"/>
  </r>
  <r>
    <n v="887"/>
    <x v="77"/>
    <x v="0"/>
    <x v="106"/>
    <x v="0"/>
    <x v="2"/>
    <x v="2"/>
    <x v="883"/>
  </r>
  <r>
    <n v="888"/>
    <x v="5"/>
    <x v="2"/>
    <x v="51"/>
    <x v="0"/>
    <x v="1"/>
    <x v="1"/>
    <x v="884"/>
  </r>
  <r>
    <n v="889"/>
    <x v="46"/>
    <x v="1"/>
    <x v="128"/>
    <x v="0"/>
    <x v="2"/>
    <x v="1"/>
    <x v="885"/>
  </r>
  <r>
    <n v="890"/>
    <x v="33"/>
    <x v="0"/>
    <x v="8"/>
    <x v="1"/>
    <x v="0"/>
    <x v="1"/>
    <x v="886"/>
  </r>
  <r>
    <n v="891"/>
    <x v="7"/>
    <x v="1"/>
    <x v="173"/>
    <x v="1"/>
    <x v="0"/>
    <x v="2"/>
    <x v="887"/>
  </r>
  <r>
    <n v="892"/>
    <x v="75"/>
    <x v="0"/>
    <x v="165"/>
    <x v="1"/>
    <x v="1"/>
    <x v="1"/>
    <x v="888"/>
  </r>
  <r>
    <n v="893"/>
    <x v="35"/>
    <x v="0"/>
    <x v="158"/>
    <x v="2"/>
    <x v="0"/>
    <x v="2"/>
    <x v="889"/>
  </r>
  <r>
    <n v="894"/>
    <x v="43"/>
    <x v="0"/>
    <x v="44"/>
    <x v="2"/>
    <x v="0"/>
    <x v="2"/>
    <x v="890"/>
  </r>
  <r>
    <n v="895"/>
    <x v="35"/>
    <x v="0"/>
    <x v="80"/>
    <x v="1"/>
    <x v="0"/>
    <x v="0"/>
    <x v="891"/>
  </r>
  <r>
    <n v="896"/>
    <x v="35"/>
    <x v="0"/>
    <x v="27"/>
    <x v="1"/>
    <x v="0"/>
    <x v="2"/>
    <x v="892"/>
  </r>
  <r>
    <n v="897"/>
    <x v="58"/>
    <x v="1"/>
    <x v="28"/>
    <x v="1"/>
    <x v="0"/>
    <x v="2"/>
    <x v="893"/>
  </r>
  <r>
    <n v="898"/>
    <x v="27"/>
    <x v="0"/>
    <x v="73"/>
    <x v="2"/>
    <x v="2"/>
    <x v="2"/>
    <x v="894"/>
  </r>
  <r>
    <n v="899"/>
    <x v="38"/>
    <x v="2"/>
    <x v="168"/>
    <x v="0"/>
    <x v="1"/>
    <x v="2"/>
    <x v="895"/>
  </r>
  <r>
    <n v="900"/>
    <x v="2"/>
    <x v="1"/>
    <x v="179"/>
    <x v="2"/>
    <x v="1"/>
    <x v="2"/>
    <x v="896"/>
  </r>
  <r>
    <n v="901"/>
    <x v="60"/>
    <x v="2"/>
    <x v="88"/>
    <x v="1"/>
    <x v="1"/>
    <x v="2"/>
    <x v="897"/>
  </r>
  <r>
    <n v="902"/>
    <x v="23"/>
    <x v="0"/>
    <x v="121"/>
    <x v="0"/>
    <x v="0"/>
    <x v="2"/>
    <x v="898"/>
  </r>
  <r>
    <n v="903"/>
    <x v="86"/>
    <x v="1"/>
    <x v="52"/>
    <x v="2"/>
    <x v="0"/>
    <x v="1"/>
    <x v="899"/>
  </r>
  <r>
    <n v="904"/>
    <x v="75"/>
    <x v="2"/>
    <x v="74"/>
    <x v="2"/>
    <x v="2"/>
    <x v="0"/>
    <x v="900"/>
  </r>
  <r>
    <n v="905"/>
    <x v="68"/>
    <x v="1"/>
    <x v="139"/>
    <x v="2"/>
    <x v="0"/>
    <x v="2"/>
    <x v="901"/>
  </r>
  <r>
    <n v="906"/>
    <x v="1"/>
    <x v="0"/>
    <x v="75"/>
    <x v="2"/>
    <x v="1"/>
    <x v="0"/>
    <x v="902"/>
  </r>
  <r>
    <n v="907"/>
    <x v="75"/>
    <x v="0"/>
    <x v="179"/>
    <x v="0"/>
    <x v="0"/>
    <x v="0"/>
    <x v="903"/>
  </r>
  <r>
    <n v="908"/>
    <x v="49"/>
    <x v="1"/>
    <x v="39"/>
    <x v="0"/>
    <x v="2"/>
    <x v="2"/>
    <x v="904"/>
  </r>
  <r>
    <n v="909"/>
    <x v="1"/>
    <x v="1"/>
    <x v="49"/>
    <x v="0"/>
    <x v="1"/>
    <x v="0"/>
    <x v="905"/>
  </r>
  <r>
    <n v="910"/>
    <x v="45"/>
    <x v="1"/>
    <x v="110"/>
    <x v="2"/>
    <x v="2"/>
    <x v="2"/>
    <x v="906"/>
  </r>
  <r>
    <n v="911"/>
    <x v="81"/>
    <x v="1"/>
    <x v="98"/>
    <x v="0"/>
    <x v="0"/>
    <x v="0"/>
    <x v="907"/>
  </r>
  <r>
    <n v="912"/>
    <x v="92"/>
    <x v="1"/>
    <x v="9"/>
    <x v="0"/>
    <x v="2"/>
    <x v="0"/>
    <x v="908"/>
  </r>
  <r>
    <n v="913"/>
    <x v="72"/>
    <x v="1"/>
    <x v="43"/>
    <x v="2"/>
    <x v="2"/>
    <x v="1"/>
    <x v="909"/>
  </r>
  <r>
    <n v="914"/>
    <x v="85"/>
    <x v="1"/>
    <x v="22"/>
    <x v="1"/>
    <x v="1"/>
    <x v="1"/>
    <x v="910"/>
  </r>
  <r>
    <n v="915"/>
    <x v="65"/>
    <x v="2"/>
    <x v="54"/>
    <x v="2"/>
    <x v="2"/>
    <x v="0"/>
    <x v="911"/>
  </r>
  <r>
    <n v="916"/>
    <x v="40"/>
    <x v="0"/>
    <x v="90"/>
    <x v="2"/>
    <x v="2"/>
    <x v="0"/>
    <x v="912"/>
  </r>
  <r>
    <n v="917"/>
    <x v="65"/>
    <x v="2"/>
    <x v="118"/>
    <x v="0"/>
    <x v="1"/>
    <x v="1"/>
    <x v="913"/>
  </r>
  <r>
    <n v="918"/>
    <x v="34"/>
    <x v="1"/>
    <x v="178"/>
    <x v="0"/>
    <x v="2"/>
    <x v="0"/>
    <x v="914"/>
  </r>
  <r>
    <n v="919"/>
    <x v="52"/>
    <x v="2"/>
    <x v="150"/>
    <x v="1"/>
    <x v="0"/>
    <x v="0"/>
    <x v="915"/>
  </r>
  <r>
    <n v="920"/>
    <x v="87"/>
    <x v="1"/>
    <x v="41"/>
    <x v="2"/>
    <x v="2"/>
    <x v="0"/>
    <x v="916"/>
  </r>
  <r>
    <n v="921"/>
    <x v="73"/>
    <x v="2"/>
    <x v="107"/>
    <x v="1"/>
    <x v="2"/>
    <x v="1"/>
    <x v="917"/>
  </r>
  <r>
    <n v="922"/>
    <x v="7"/>
    <x v="2"/>
    <x v="127"/>
    <x v="0"/>
    <x v="0"/>
    <x v="0"/>
    <x v="918"/>
  </r>
  <r>
    <n v="923"/>
    <x v="36"/>
    <x v="0"/>
    <x v="27"/>
    <x v="2"/>
    <x v="0"/>
    <x v="0"/>
    <x v="524"/>
  </r>
  <r>
    <n v="924"/>
    <x v="47"/>
    <x v="2"/>
    <x v="170"/>
    <x v="0"/>
    <x v="0"/>
    <x v="2"/>
    <x v="919"/>
  </r>
  <r>
    <n v="925"/>
    <x v="50"/>
    <x v="1"/>
    <x v="13"/>
    <x v="1"/>
    <x v="0"/>
    <x v="1"/>
    <x v="920"/>
  </r>
  <r>
    <n v="926"/>
    <x v="94"/>
    <x v="1"/>
    <x v="79"/>
    <x v="1"/>
    <x v="2"/>
    <x v="1"/>
    <x v="921"/>
  </r>
  <r>
    <n v="927"/>
    <x v="63"/>
    <x v="2"/>
    <x v="130"/>
    <x v="2"/>
    <x v="2"/>
    <x v="0"/>
    <x v="922"/>
  </r>
  <r>
    <n v="928"/>
    <x v="67"/>
    <x v="0"/>
    <x v="63"/>
    <x v="1"/>
    <x v="2"/>
    <x v="2"/>
    <x v="923"/>
  </r>
  <r>
    <n v="929"/>
    <x v="44"/>
    <x v="1"/>
    <x v="63"/>
    <x v="2"/>
    <x v="1"/>
    <x v="0"/>
    <x v="924"/>
  </r>
  <r>
    <n v="930"/>
    <x v="46"/>
    <x v="1"/>
    <x v="15"/>
    <x v="0"/>
    <x v="1"/>
    <x v="1"/>
    <x v="925"/>
  </r>
  <r>
    <n v="931"/>
    <x v="18"/>
    <x v="0"/>
    <x v="83"/>
    <x v="1"/>
    <x v="1"/>
    <x v="1"/>
    <x v="926"/>
  </r>
  <r>
    <n v="932"/>
    <x v="67"/>
    <x v="1"/>
    <x v="15"/>
    <x v="1"/>
    <x v="2"/>
    <x v="0"/>
    <x v="927"/>
  </r>
  <r>
    <n v="933"/>
    <x v="0"/>
    <x v="2"/>
    <x v="73"/>
    <x v="1"/>
    <x v="0"/>
    <x v="0"/>
    <x v="928"/>
  </r>
  <r>
    <n v="934"/>
    <x v="41"/>
    <x v="2"/>
    <x v="19"/>
    <x v="2"/>
    <x v="0"/>
    <x v="2"/>
    <x v="929"/>
  </r>
  <r>
    <n v="935"/>
    <x v="92"/>
    <x v="0"/>
    <x v="45"/>
    <x v="2"/>
    <x v="1"/>
    <x v="1"/>
    <x v="930"/>
  </r>
  <r>
    <n v="936"/>
    <x v="40"/>
    <x v="2"/>
    <x v="89"/>
    <x v="0"/>
    <x v="2"/>
    <x v="1"/>
    <x v="931"/>
  </r>
  <r>
    <n v="937"/>
    <x v="91"/>
    <x v="0"/>
    <x v="153"/>
    <x v="1"/>
    <x v="1"/>
    <x v="2"/>
    <x v="932"/>
  </r>
  <r>
    <n v="938"/>
    <x v="83"/>
    <x v="0"/>
    <x v="74"/>
    <x v="2"/>
    <x v="0"/>
    <x v="2"/>
    <x v="933"/>
  </r>
  <r>
    <n v="939"/>
    <x v="32"/>
    <x v="2"/>
    <x v="179"/>
    <x v="1"/>
    <x v="2"/>
    <x v="0"/>
    <x v="934"/>
  </r>
  <r>
    <n v="940"/>
    <x v="42"/>
    <x v="1"/>
    <x v="71"/>
    <x v="1"/>
    <x v="0"/>
    <x v="2"/>
    <x v="935"/>
  </r>
  <r>
    <n v="941"/>
    <x v="92"/>
    <x v="0"/>
    <x v="99"/>
    <x v="0"/>
    <x v="0"/>
    <x v="0"/>
    <x v="936"/>
  </r>
  <r>
    <n v="942"/>
    <x v="92"/>
    <x v="0"/>
    <x v="106"/>
    <x v="2"/>
    <x v="1"/>
    <x v="0"/>
    <x v="937"/>
  </r>
  <r>
    <n v="943"/>
    <x v="37"/>
    <x v="2"/>
    <x v="181"/>
    <x v="1"/>
    <x v="2"/>
    <x v="2"/>
    <x v="938"/>
  </r>
  <r>
    <n v="944"/>
    <x v="13"/>
    <x v="1"/>
    <x v="35"/>
    <x v="2"/>
    <x v="0"/>
    <x v="2"/>
    <x v="939"/>
  </r>
  <r>
    <n v="945"/>
    <x v="3"/>
    <x v="2"/>
    <x v="52"/>
    <x v="2"/>
    <x v="0"/>
    <x v="0"/>
    <x v="940"/>
  </r>
  <r>
    <n v="946"/>
    <x v="12"/>
    <x v="2"/>
    <x v="114"/>
    <x v="1"/>
    <x v="0"/>
    <x v="2"/>
    <x v="941"/>
  </r>
  <r>
    <n v="947"/>
    <x v="1"/>
    <x v="2"/>
    <x v="114"/>
    <x v="1"/>
    <x v="2"/>
    <x v="0"/>
    <x v="942"/>
  </r>
  <r>
    <n v="948"/>
    <x v="55"/>
    <x v="0"/>
    <x v="179"/>
    <x v="0"/>
    <x v="2"/>
    <x v="1"/>
    <x v="943"/>
  </r>
  <r>
    <n v="949"/>
    <x v="23"/>
    <x v="0"/>
    <x v="61"/>
    <x v="2"/>
    <x v="1"/>
    <x v="1"/>
    <x v="944"/>
  </r>
  <r>
    <n v="950"/>
    <x v="84"/>
    <x v="0"/>
    <x v="20"/>
    <x v="2"/>
    <x v="1"/>
    <x v="1"/>
    <x v="945"/>
  </r>
  <r>
    <n v="951"/>
    <x v="47"/>
    <x v="1"/>
    <x v="32"/>
    <x v="1"/>
    <x v="2"/>
    <x v="0"/>
    <x v="946"/>
  </r>
  <r>
    <n v="952"/>
    <x v="84"/>
    <x v="0"/>
    <x v="167"/>
    <x v="2"/>
    <x v="1"/>
    <x v="0"/>
    <x v="947"/>
  </r>
  <r>
    <n v="953"/>
    <x v="18"/>
    <x v="1"/>
    <x v="57"/>
    <x v="2"/>
    <x v="0"/>
    <x v="2"/>
    <x v="948"/>
  </r>
  <r>
    <n v="954"/>
    <x v="92"/>
    <x v="0"/>
    <x v="173"/>
    <x v="2"/>
    <x v="2"/>
    <x v="0"/>
    <x v="949"/>
  </r>
  <r>
    <n v="955"/>
    <x v="6"/>
    <x v="1"/>
    <x v="161"/>
    <x v="1"/>
    <x v="0"/>
    <x v="2"/>
    <x v="950"/>
  </r>
  <r>
    <n v="956"/>
    <x v="45"/>
    <x v="1"/>
    <x v="150"/>
    <x v="2"/>
    <x v="1"/>
    <x v="2"/>
    <x v="951"/>
  </r>
  <r>
    <n v="957"/>
    <x v="21"/>
    <x v="0"/>
    <x v="38"/>
    <x v="1"/>
    <x v="0"/>
    <x v="1"/>
    <x v="952"/>
  </r>
  <r>
    <n v="958"/>
    <x v="26"/>
    <x v="0"/>
    <x v="175"/>
    <x v="0"/>
    <x v="1"/>
    <x v="0"/>
    <x v="953"/>
  </r>
  <r>
    <n v="959"/>
    <x v="15"/>
    <x v="2"/>
    <x v="63"/>
    <x v="0"/>
    <x v="1"/>
    <x v="1"/>
    <x v="954"/>
  </r>
  <r>
    <n v="960"/>
    <x v="82"/>
    <x v="2"/>
    <x v="130"/>
    <x v="1"/>
    <x v="1"/>
    <x v="1"/>
    <x v="955"/>
  </r>
  <r>
    <n v="961"/>
    <x v="25"/>
    <x v="0"/>
    <x v="27"/>
    <x v="0"/>
    <x v="2"/>
    <x v="0"/>
    <x v="956"/>
  </r>
  <r>
    <n v="962"/>
    <x v="80"/>
    <x v="2"/>
    <x v="103"/>
    <x v="0"/>
    <x v="1"/>
    <x v="2"/>
    <x v="957"/>
  </r>
  <r>
    <n v="963"/>
    <x v="30"/>
    <x v="2"/>
    <x v="138"/>
    <x v="0"/>
    <x v="0"/>
    <x v="1"/>
    <x v="958"/>
  </r>
  <r>
    <n v="964"/>
    <x v="10"/>
    <x v="1"/>
    <x v="145"/>
    <x v="0"/>
    <x v="1"/>
    <x v="2"/>
    <x v="959"/>
  </r>
  <r>
    <n v="965"/>
    <x v="10"/>
    <x v="1"/>
    <x v="112"/>
    <x v="1"/>
    <x v="1"/>
    <x v="0"/>
    <x v="960"/>
  </r>
  <r>
    <n v="966"/>
    <x v="88"/>
    <x v="1"/>
    <x v="27"/>
    <x v="1"/>
    <x v="2"/>
    <x v="0"/>
    <x v="961"/>
  </r>
  <r>
    <n v="967"/>
    <x v="18"/>
    <x v="1"/>
    <x v="154"/>
    <x v="1"/>
    <x v="2"/>
    <x v="2"/>
    <x v="962"/>
  </r>
  <r>
    <n v="968"/>
    <x v="32"/>
    <x v="0"/>
    <x v="114"/>
    <x v="1"/>
    <x v="2"/>
    <x v="0"/>
    <x v="963"/>
  </r>
  <r>
    <n v="969"/>
    <x v="1"/>
    <x v="0"/>
    <x v="53"/>
    <x v="2"/>
    <x v="0"/>
    <x v="2"/>
    <x v="964"/>
  </r>
  <r>
    <n v="970"/>
    <x v="20"/>
    <x v="0"/>
    <x v="126"/>
    <x v="1"/>
    <x v="0"/>
    <x v="0"/>
    <x v="965"/>
  </r>
  <r>
    <n v="971"/>
    <x v="98"/>
    <x v="2"/>
    <x v="158"/>
    <x v="0"/>
    <x v="0"/>
    <x v="1"/>
    <x v="966"/>
  </r>
  <r>
    <n v="972"/>
    <x v="62"/>
    <x v="2"/>
    <x v="118"/>
    <x v="2"/>
    <x v="1"/>
    <x v="2"/>
    <x v="967"/>
  </r>
  <r>
    <n v="973"/>
    <x v="4"/>
    <x v="0"/>
    <x v="152"/>
    <x v="2"/>
    <x v="1"/>
    <x v="1"/>
    <x v="968"/>
  </r>
  <r>
    <n v="974"/>
    <x v="22"/>
    <x v="2"/>
    <x v="65"/>
    <x v="1"/>
    <x v="1"/>
    <x v="2"/>
    <x v="969"/>
  </r>
  <r>
    <n v="975"/>
    <x v="25"/>
    <x v="1"/>
    <x v="180"/>
    <x v="0"/>
    <x v="2"/>
    <x v="1"/>
    <x v="970"/>
  </r>
  <r>
    <n v="976"/>
    <x v="37"/>
    <x v="2"/>
    <x v="36"/>
    <x v="0"/>
    <x v="2"/>
    <x v="0"/>
    <x v="971"/>
  </r>
  <r>
    <n v="977"/>
    <x v="71"/>
    <x v="0"/>
    <x v="32"/>
    <x v="1"/>
    <x v="1"/>
    <x v="1"/>
    <x v="972"/>
  </r>
  <r>
    <n v="978"/>
    <x v="89"/>
    <x v="1"/>
    <x v="96"/>
    <x v="0"/>
    <x v="2"/>
    <x v="1"/>
    <x v="973"/>
  </r>
  <r>
    <n v="979"/>
    <x v="61"/>
    <x v="1"/>
    <x v="50"/>
    <x v="1"/>
    <x v="1"/>
    <x v="2"/>
    <x v="974"/>
  </r>
  <r>
    <n v="980"/>
    <x v="22"/>
    <x v="1"/>
    <x v="110"/>
    <x v="1"/>
    <x v="2"/>
    <x v="0"/>
    <x v="975"/>
  </r>
  <r>
    <n v="981"/>
    <x v="54"/>
    <x v="2"/>
    <x v="94"/>
    <x v="1"/>
    <x v="0"/>
    <x v="2"/>
    <x v="976"/>
  </r>
  <r>
    <n v="982"/>
    <x v="39"/>
    <x v="2"/>
    <x v="53"/>
    <x v="0"/>
    <x v="2"/>
    <x v="0"/>
    <x v="977"/>
  </r>
  <r>
    <n v="983"/>
    <x v="79"/>
    <x v="1"/>
    <x v="73"/>
    <x v="2"/>
    <x v="2"/>
    <x v="1"/>
    <x v="978"/>
  </r>
  <r>
    <n v="984"/>
    <x v="45"/>
    <x v="1"/>
    <x v="112"/>
    <x v="1"/>
    <x v="1"/>
    <x v="2"/>
    <x v="979"/>
  </r>
  <r>
    <n v="985"/>
    <x v="66"/>
    <x v="1"/>
    <x v="72"/>
    <x v="1"/>
    <x v="1"/>
    <x v="1"/>
    <x v="980"/>
  </r>
  <r>
    <n v="986"/>
    <x v="87"/>
    <x v="0"/>
    <x v="131"/>
    <x v="1"/>
    <x v="2"/>
    <x v="1"/>
    <x v="981"/>
  </r>
  <r>
    <n v="987"/>
    <x v="97"/>
    <x v="2"/>
    <x v="137"/>
    <x v="1"/>
    <x v="0"/>
    <x v="0"/>
    <x v="982"/>
  </r>
  <r>
    <n v="988"/>
    <x v="98"/>
    <x v="2"/>
    <x v="136"/>
    <x v="2"/>
    <x v="2"/>
    <x v="1"/>
    <x v="983"/>
  </r>
  <r>
    <n v="989"/>
    <x v="50"/>
    <x v="2"/>
    <x v="180"/>
    <x v="0"/>
    <x v="1"/>
    <x v="0"/>
    <x v="984"/>
  </r>
  <r>
    <n v="990"/>
    <x v="10"/>
    <x v="2"/>
    <x v="48"/>
    <x v="0"/>
    <x v="1"/>
    <x v="2"/>
    <x v="985"/>
  </r>
  <r>
    <n v="991"/>
    <x v="3"/>
    <x v="2"/>
    <x v="32"/>
    <x v="1"/>
    <x v="0"/>
    <x v="0"/>
    <x v="986"/>
  </r>
  <r>
    <n v="992"/>
    <x v="40"/>
    <x v="2"/>
    <x v="75"/>
    <x v="1"/>
    <x v="1"/>
    <x v="0"/>
    <x v="987"/>
  </r>
  <r>
    <n v="993"/>
    <x v="64"/>
    <x v="1"/>
    <x v="59"/>
    <x v="1"/>
    <x v="1"/>
    <x v="2"/>
    <x v="988"/>
  </r>
  <r>
    <n v="994"/>
    <x v="72"/>
    <x v="2"/>
    <x v="177"/>
    <x v="0"/>
    <x v="0"/>
    <x v="0"/>
    <x v="989"/>
  </r>
  <r>
    <n v="995"/>
    <x v="70"/>
    <x v="2"/>
    <x v="126"/>
    <x v="1"/>
    <x v="2"/>
    <x v="1"/>
    <x v="990"/>
  </r>
  <r>
    <n v="996"/>
    <x v="26"/>
    <x v="0"/>
    <x v="150"/>
    <x v="0"/>
    <x v="0"/>
    <x v="1"/>
    <x v="991"/>
  </r>
  <r>
    <n v="997"/>
    <x v="84"/>
    <x v="1"/>
    <x v="113"/>
    <x v="0"/>
    <x v="2"/>
    <x v="1"/>
    <x v="992"/>
  </r>
  <r>
    <n v="998"/>
    <x v="5"/>
    <x v="0"/>
    <x v="94"/>
    <x v="0"/>
    <x v="0"/>
    <x v="1"/>
    <x v="993"/>
  </r>
  <r>
    <n v="999"/>
    <x v="71"/>
    <x v="2"/>
    <x v="115"/>
    <x v="1"/>
    <x v="2"/>
    <x v="2"/>
    <x v="994"/>
  </r>
  <r>
    <n v="1000"/>
    <x v="61"/>
    <x v="2"/>
    <x v="37"/>
    <x v="0"/>
    <x v="0"/>
    <x v="0"/>
    <x v="99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x v="0"/>
    <s v="Structural"/>
    <d v="2024-06-06T00:00:00"/>
    <s v="Component"/>
    <s v="Minor"/>
    <s v="Visual Inspection"/>
    <n v="245.47"/>
  </r>
  <r>
    <n v="2"/>
    <x v="1"/>
    <s v="Functional"/>
    <s v="4/26/2024"/>
    <s v="Component"/>
    <s v="Minor"/>
    <s v="Visual Inspection"/>
    <n v="26.87"/>
  </r>
  <r>
    <n v="3"/>
    <x v="2"/>
    <s v="Structural"/>
    <s v="2/15/2024"/>
    <s v="Internal"/>
    <s v="Minor"/>
    <s v="Automated Testing"/>
    <n v="835.81"/>
  </r>
  <r>
    <n v="4"/>
    <x v="3"/>
    <s v="Functional"/>
    <s v="3/28/2024"/>
    <s v="Internal"/>
    <s v="Critical"/>
    <s v="Automated Testing"/>
    <n v="444.47"/>
  </r>
  <r>
    <n v="5"/>
    <x v="4"/>
    <s v="Cosmetic"/>
    <s v="4/26/2024"/>
    <s v="Component"/>
    <s v="Minor"/>
    <s v="Manual Testing"/>
    <n v="823.64"/>
  </r>
  <r>
    <n v="6"/>
    <x v="5"/>
    <s v="Functional"/>
    <d v="2024-11-05T00:00:00"/>
    <s v="Internal"/>
    <s v="Moderate"/>
    <s v="Visual Inspection"/>
    <n v="788.11"/>
  </r>
  <r>
    <n v="7"/>
    <x v="6"/>
    <s v="Cosmetic"/>
    <s v="5/23/2024"/>
    <s v="Internal"/>
    <s v="Critical"/>
    <s v="Manual Testing"/>
    <n v="33.68"/>
  </r>
  <r>
    <n v="8"/>
    <x v="7"/>
    <s v="Structural"/>
    <s v="1/15/2024"/>
    <s v="Internal"/>
    <s v="Moderate"/>
    <s v="Manual Testing"/>
    <n v="65.56"/>
  </r>
  <r>
    <n v="9"/>
    <x v="8"/>
    <s v="Structural"/>
    <s v="1/26/2024"/>
    <s v="Component"/>
    <s v="Critical"/>
    <s v="Manual Testing"/>
    <n v="848.61"/>
  </r>
  <r>
    <n v="10"/>
    <x v="9"/>
    <s v="Structural"/>
    <d v="2024-05-06T00:00:00"/>
    <s v="Component"/>
    <s v="Critical"/>
    <s v="Visual Inspection"/>
    <n v="478.48"/>
  </r>
  <r>
    <n v="11"/>
    <x v="10"/>
    <s v="Structural"/>
    <s v="4/28/2024"/>
    <s v="Surface"/>
    <s v="Moderate"/>
    <s v="Automated Testing"/>
    <n v="217.96"/>
  </r>
  <r>
    <n v="12"/>
    <x v="11"/>
    <s v="Structural"/>
    <s v="2/25/2024"/>
    <s v="Component"/>
    <s v="Minor"/>
    <s v="Manual Testing"/>
    <n v="485.02"/>
  </r>
  <r>
    <n v="13"/>
    <x v="12"/>
    <s v="Cosmetic"/>
    <s v="6/20/2024"/>
    <s v="Component"/>
    <s v="Minor"/>
    <s v="Visual Inspection"/>
    <n v="714.63"/>
  </r>
  <r>
    <n v="14"/>
    <x v="13"/>
    <s v="Cosmetic"/>
    <d v="2024-08-05T00:00:00"/>
    <s v="Surface"/>
    <s v="Critical"/>
    <s v="Manual Testing"/>
    <n v="603.94000000000005"/>
  </r>
  <r>
    <n v="15"/>
    <x v="14"/>
    <s v="Cosmetic"/>
    <d v="2024-03-05T00:00:00"/>
    <s v="Component"/>
    <s v="Critical"/>
    <s v="Manual Testing"/>
    <n v="189.55"/>
  </r>
  <r>
    <n v="16"/>
    <x v="3"/>
    <s v="Functional"/>
    <s v="1/20/2024"/>
    <s v="Component"/>
    <s v="Minor"/>
    <s v="Automated Testing"/>
    <n v="458.79"/>
  </r>
  <r>
    <n v="17"/>
    <x v="15"/>
    <s v="Structural"/>
    <s v="5/14/2024"/>
    <s v="Internal"/>
    <s v="Minor"/>
    <s v="Visual Inspection"/>
    <n v="509.35"/>
  </r>
  <r>
    <n v="18"/>
    <x v="16"/>
    <s v="Cosmetic"/>
    <s v="5/21/2024"/>
    <s v="Component"/>
    <s v="Critical"/>
    <s v="Visual Inspection"/>
    <n v="538.99"/>
  </r>
  <r>
    <n v="19"/>
    <x v="17"/>
    <s v="Functional"/>
    <s v="2/15/2024"/>
    <s v="Internal"/>
    <s v="Critical"/>
    <s v="Manual Testing"/>
    <n v="34.93"/>
  </r>
  <r>
    <n v="20"/>
    <x v="18"/>
    <s v="Structural"/>
    <s v="5/25/2024"/>
    <s v="Internal"/>
    <s v="Moderate"/>
    <s v="Manual Testing"/>
    <n v="557.11"/>
  </r>
  <r>
    <n v="21"/>
    <x v="19"/>
    <s v="Functional"/>
    <d v="2024-03-05T00:00:00"/>
    <s v="Surface"/>
    <s v="Minor"/>
    <s v="Visual Inspection"/>
    <n v="831.43"/>
  </r>
  <r>
    <n v="22"/>
    <x v="1"/>
    <s v="Structural"/>
    <d v="2024-06-03T00:00:00"/>
    <s v="Surface"/>
    <s v="Minor"/>
    <s v="Visual Inspection"/>
    <n v="504.9"/>
  </r>
  <r>
    <n v="23"/>
    <x v="20"/>
    <s v="Structural"/>
    <d v="2024-06-05T00:00:00"/>
    <s v="Surface"/>
    <s v="Moderate"/>
    <s v="Automated Testing"/>
    <n v="349.23"/>
  </r>
  <r>
    <n v="24"/>
    <x v="0"/>
    <s v="Structural"/>
    <s v="2/23/2024"/>
    <s v="Component"/>
    <s v="Critical"/>
    <s v="Visual Inspection"/>
    <n v="560.39"/>
  </r>
  <r>
    <n v="25"/>
    <x v="21"/>
    <s v="Cosmetic"/>
    <s v="2/19/2024"/>
    <s v="Surface"/>
    <s v="Moderate"/>
    <s v="Manual Testing"/>
    <n v="629.71"/>
  </r>
  <r>
    <n v="26"/>
    <x v="22"/>
    <s v="Structural"/>
    <s v="6/15/2024"/>
    <s v="Component"/>
    <s v="Moderate"/>
    <s v="Visual Inspection"/>
    <n v="975.44"/>
  </r>
  <r>
    <n v="27"/>
    <x v="23"/>
    <s v="Cosmetic"/>
    <d v="2024-08-05T00:00:00"/>
    <s v="Component"/>
    <s v="Moderate"/>
    <s v="Manual Testing"/>
    <n v="737.54"/>
  </r>
  <r>
    <n v="28"/>
    <x v="24"/>
    <s v="Structural"/>
    <d v="2024-02-01T00:00:00"/>
    <s v="Component"/>
    <s v="Critical"/>
    <s v="Manual Testing"/>
    <n v="592.87"/>
  </r>
  <r>
    <n v="29"/>
    <x v="25"/>
    <s v="Structural"/>
    <s v="1/13/2024"/>
    <s v="Component"/>
    <s v="Moderate"/>
    <s v="Automated Testing"/>
    <n v="99.82"/>
  </r>
  <r>
    <n v="30"/>
    <x v="5"/>
    <s v="Functional"/>
    <s v="1/22/2024"/>
    <s v="Surface"/>
    <s v="Critical"/>
    <s v="Visual Inspection"/>
    <n v="106.34"/>
  </r>
  <r>
    <n v="31"/>
    <x v="8"/>
    <s v="Structural"/>
    <s v="4/30/2024"/>
    <s v="Surface"/>
    <s v="Critical"/>
    <s v="Automated Testing"/>
    <n v="352.58"/>
  </r>
  <r>
    <n v="32"/>
    <x v="26"/>
    <s v="Structural"/>
    <s v="3/29/2024"/>
    <s v="Surface"/>
    <s v="Moderate"/>
    <s v="Visual Inspection"/>
    <n v="734.12"/>
  </r>
  <r>
    <n v="33"/>
    <x v="4"/>
    <s v="Cosmetic"/>
    <s v="5/15/2024"/>
    <s v="Internal"/>
    <s v="Minor"/>
    <s v="Visual Inspection"/>
    <n v="953.54"/>
  </r>
  <r>
    <n v="34"/>
    <x v="27"/>
    <s v="Structural"/>
    <s v="6/19/2024"/>
    <s v="Surface"/>
    <s v="Critical"/>
    <s v="Manual Testing"/>
    <n v="753.89"/>
  </r>
  <r>
    <n v="35"/>
    <x v="28"/>
    <s v="Functional"/>
    <d v="2024-04-04T00:00:00"/>
    <s v="Component"/>
    <s v="Critical"/>
    <s v="Automated Testing"/>
    <n v="955.91"/>
  </r>
  <r>
    <n v="36"/>
    <x v="9"/>
    <s v="Structural"/>
    <d v="2024-04-06T00:00:00"/>
    <s v="Surface"/>
    <s v="Critical"/>
    <s v="Automated Testing"/>
    <n v="776.91"/>
  </r>
  <r>
    <n v="37"/>
    <x v="29"/>
    <s v="Cosmetic"/>
    <s v="1/20/2024"/>
    <s v="Internal"/>
    <s v="Critical"/>
    <s v="Manual Testing"/>
    <n v="607.96"/>
  </r>
  <r>
    <n v="38"/>
    <x v="30"/>
    <s v="Functional"/>
    <d v="2024-08-06T00:00:00"/>
    <s v="Internal"/>
    <s v="Moderate"/>
    <s v="Automated Testing"/>
    <n v="107.7"/>
  </r>
  <r>
    <n v="39"/>
    <x v="31"/>
    <s v="Functional"/>
    <s v="6/25/2024"/>
    <s v="Internal"/>
    <s v="Critical"/>
    <s v="Manual Testing"/>
    <n v="27.24"/>
  </r>
  <r>
    <n v="40"/>
    <x v="32"/>
    <s v="Cosmetic"/>
    <d v="2024-06-01T00:00:00"/>
    <s v="Surface"/>
    <s v="Critical"/>
    <s v="Visual Inspection"/>
    <n v="370.83"/>
  </r>
  <r>
    <n v="41"/>
    <x v="16"/>
    <s v="Functional"/>
    <d v="2024-11-03T00:00:00"/>
    <s v="Component"/>
    <s v="Minor"/>
    <s v="Manual Testing"/>
    <n v="526.08000000000004"/>
  </r>
  <r>
    <n v="42"/>
    <x v="33"/>
    <s v="Functional"/>
    <s v="5/18/2024"/>
    <s v="Surface"/>
    <s v="Critical"/>
    <s v="Automated Testing"/>
    <n v="144.38"/>
  </r>
  <r>
    <n v="43"/>
    <x v="13"/>
    <s v="Cosmetic"/>
    <s v="3/23/2024"/>
    <s v="Surface"/>
    <s v="Moderate"/>
    <s v="Visual Inspection"/>
    <n v="534.33000000000004"/>
  </r>
  <r>
    <n v="44"/>
    <x v="34"/>
    <s v="Structural"/>
    <s v="5/18/2024"/>
    <s v="Surface"/>
    <s v="Minor"/>
    <s v="Visual Inspection"/>
    <n v="456.8"/>
  </r>
  <r>
    <n v="45"/>
    <x v="35"/>
    <s v="Functional"/>
    <s v="5/27/2024"/>
    <s v="Surface"/>
    <s v="Minor"/>
    <s v="Automated Testing"/>
    <n v="215.01"/>
  </r>
  <r>
    <n v="46"/>
    <x v="36"/>
    <s v="Structural"/>
    <s v="4/24/2024"/>
    <s v="Surface"/>
    <s v="Moderate"/>
    <s v="Manual Testing"/>
    <n v="824.3"/>
  </r>
  <r>
    <n v="47"/>
    <x v="37"/>
    <s v="Structural"/>
    <s v="2/14/2024"/>
    <s v="Component"/>
    <s v="Critical"/>
    <s v="Manual Testing"/>
    <n v="769.28"/>
  </r>
  <r>
    <n v="48"/>
    <x v="36"/>
    <s v="Structural"/>
    <d v="2024-03-01T00:00:00"/>
    <s v="Component"/>
    <s v="Moderate"/>
    <s v="Manual Testing"/>
    <n v="160.25"/>
  </r>
  <r>
    <n v="49"/>
    <x v="38"/>
    <s v="Functional"/>
    <s v="2/24/2024"/>
    <s v="Component"/>
    <s v="Minor"/>
    <s v="Automated Testing"/>
    <n v="386.17"/>
  </r>
  <r>
    <n v="50"/>
    <x v="39"/>
    <s v="Functional"/>
    <d v="2024-06-01T00:00:00"/>
    <s v="Component"/>
    <s v="Moderate"/>
    <s v="Manual Testing"/>
    <n v="572.08000000000004"/>
  </r>
  <r>
    <n v="51"/>
    <x v="3"/>
    <s v="Structural"/>
    <s v="6/26/2024"/>
    <s v="Internal"/>
    <s v="Minor"/>
    <s v="Visual Inspection"/>
    <n v="433.85"/>
  </r>
  <r>
    <n v="52"/>
    <x v="40"/>
    <s v="Structural"/>
    <s v="5/19/2024"/>
    <s v="Surface"/>
    <s v="Minor"/>
    <s v="Manual Testing"/>
    <n v="338.1"/>
  </r>
  <r>
    <n v="53"/>
    <x v="18"/>
    <s v="Functional"/>
    <d v="2024-03-01T00:00:00"/>
    <s v="Surface"/>
    <s v="Critical"/>
    <s v="Automated Testing"/>
    <n v="93.13"/>
  </r>
  <r>
    <n v="54"/>
    <x v="41"/>
    <s v="Cosmetic"/>
    <s v="5/14/2024"/>
    <s v="Component"/>
    <s v="Moderate"/>
    <s v="Visual Inspection"/>
    <n v="308.37"/>
  </r>
  <r>
    <n v="55"/>
    <x v="42"/>
    <s v="Structural"/>
    <s v="3/23/2024"/>
    <s v="Internal"/>
    <s v="Critical"/>
    <s v="Automated Testing"/>
    <n v="396.58"/>
  </r>
  <r>
    <n v="56"/>
    <x v="43"/>
    <s v="Structural"/>
    <s v="1/19/2024"/>
    <s v="Surface"/>
    <s v="Minor"/>
    <s v="Automated Testing"/>
    <n v="957.6"/>
  </r>
  <r>
    <n v="57"/>
    <x v="11"/>
    <s v="Structural"/>
    <d v="2024-06-03T00:00:00"/>
    <s v="Internal"/>
    <s v="Moderate"/>
    <s v="Automated Testing"/>
    <n v="205.19"/>
  </r>
  <r>
    <n v="58"/>
    <x v="44"/>
    <s v="Cosmetic"/>
    <s v="5/25/2024"/>
    <s v="Component"/>
    <s v="Critical"/>
    <s v="Manual Testing"/>
    <n v="300.27"/>
  </r>
  <r>
    <n v="59"/>
    <x v="37"/>
    <s v="Structural"/>
    <d v="2024-10-03T00:00:00"/>
    <s v="Internal"/>
    <s v="Critical"/>
    <s v="Automated Testing"/>
    <n v="671.22"/>
  </r>
  <r>
    <n v="60"/>
    <x v="12"/>
    <s v="Functional"/>
    <s v="2/18/2024"/>
    <s v="Surface"/>
    <s v="Minor"/>
    <s v="Visual Inspection"/>
    <n v="395.1"/>
  </r>
  <r>
    <n v="61"/>
    <x v="23"/>
    <s v="Structural"/>
    <d v="2024-11-06T00:00:00"/>
    <s v="Component"/>
    <s v="Critical"/>
    <s v="Visual Inspection"/>
    <n v="675.89"/>
  </r>
  <r>
    <n v="62"/>
    <x v="45"/>
    <s v="Cosmetic"/>
    <d v="2024-08-03T00:00:00"/>
    <s v="Component"/>
    <s v="Moderate"/>
    <s v="Visual Inspection"/>
    <n v="523.02"/>
  </r>
  <r>
    <n v="63"/>
    <x v="46"/>
    <s v="Structural"/>
    <d v="2024-02-01T00:00:00"/>
    <s v="Surface"/>
    <s v="Critical"/>
    <s v="Manual Testing"/>
    <n v="337.5"/>
  </r>
  <r>
    <n v="64"/>
    <x v="47"/>
    <s v="Cosmetic"/>
    <d v="2024-11-01T00:00:00"/>
    <s v="Surface"/>
    <s v="Minor"/>
    <s v="Automated Testing"/>
    <n v="830.89"/>
  </r>
  <r>
    <n v="65"/>
    <x v="48"/>
    <s v="Functional"/>
    <s v="4/16/2024"/>
    <s v="Component"/>
    <s v="Critical"/>
    <s v="Visual Inspection"/>
    <n v="84.97"/>
  </r>
  <r>
    <n v="66"/>
    <x v="49"/>
    <s v="Functional"/>
    <s v="5/24/2024"/>
    <s v="Internal"/>
    <s v="Minor"/>
    <s v="Visual Inspection"/>
    <n v="771.96"/>
  </r>
  <r>
    <n v="67"/>
    <x v="12"/>
    <s v="Functional"/>
    <s v="3/15/2024"/>
    <s v="Internal"/>
    <s v="Minor"/>
    <s v="Automated Testing"/>
    <n v="46.43"/>
  </r>
  <r>
    <n v="68"/>
    <x v="50"/>
    <s v="Cosmetic"/>
    <s v="4/16/2024"/>
    <s v="Internal"/>
    <s v="Minor"/>
    <s v="Automated Testing"/>
    <n v="31.91"/>
  </r>
  <r>
    <n v="69"/>
    <x v="20"/>
    <s v="Cosmetic"/>
    <s v="5/19/2024"/>
    <s v="Component"/>
    <s v="Moderate"/>
    <s v="Automated Testing"/>
    <n v="845.8"/>
  </r>
  <r>
    <n v="70"/>
    <x v="5"/>
    <s v="Functional"/>
    <s v="2/19/2024"/>
    <s v="Component"/>
    <s v="Minor"/>
    <s v="Manual Testing"/>
    <n v="729.55"/>
  </r>
  <r>
    <n v="71"/>
    <x v="51"/>
    <s v="Cosmetic"/>
    <d v="2024-05-03T00:00:00"/>
    <s v="Surface"/>
    <s v="Moderate"/>
    <s v="Automated Testing"/>
    <n v="187.03"/>
  </r>
  <r>
    <n v="72"/>
    <x v="52"/>
    <s v="Structural"/>
    <s v="6/29/2024"/>
    <s v="Component"/>
    <s v="Moderate"/>
    <s v="Automated Testing"/>
    <n v="470.35"/>
  </r>
  <r>
    <n v="73"/>
    <x v="0"/>
    <s v="Functional"/>
    <s v="5/20/2024"/>
    <s v="Internal"/>
    <s v="Minor"/>
    <s v="Visual Inspection"/>
    <n v="662.35"/>
  </r>
  <r>
    <n v="74"/>
    <x v="45"/>
    <s v="Functional"/>
    <d v="2024-04-04T00:00:00"/>
    <s v="Component"/>
    <s v="Critical"/>
    <s v="Visual Inspection"/>
    <n v="509.97"/>
  </r>
  <r>
    <n v="75"/>
    <x v="47"/>
    <s v="Functional"/>
    <d v="2024-03-01T00:00:00"/>
    <s v="Component"/>
    <s v="Critical"/>
    <s v="Manual Testing"/>
    <n v="352.33"/>
  </r>
  <r>
    <n v="76"/>
    <x v="36"/>
    <s v="Functional"/>
    <s v="3/27/2024"/>
    <s v="Surface"/>
    <s v="Minor"/>
    <s v="Manual Testing"/>
    <n v="228.22"/>
  </r>
  <r>
    <n v="77"/>
    <x v="35"/>
    <s v="Functional"/>
    <d v="2024-06-02T00:00:00"/>
    <s v="Component"/>
    <s v="Critical"/>
    <s v="Manual Testing"/>
    <n v="632.45000000000005"/>
  </r>
  <r>
    <n v="78"/>
    <x v="17"/>
    <s v="Functional"/>
    <s v="6/20/2024"/>
    <s v="Component"/>
    <s v="Critical"/>
    <s v="Automated Testing"/>
    <n v="975.87"/>
  </r>
  <r>
    <n v="79"/>
    <x v="53"/>
    <s v="Structural"/>
    <s v="3/23/2024"/>
    <s v="Internal"/>
    <s v="Moderate"/>
    <s v="Visual Inspection"/>
    <n v="967.14"/>
  </r>
  <r>
    <n v="80"/>
    <x v="54"/>
    <s v="Structural"/>
    <d v="2024-11-01T00:00:00"/>
    <s v="Surface"/>
    <s v="Moderate"/>
    <s v="Automated Testing"/>
    <n v="992.69"/>
  </r>
  <r>
    <n v="81"/>
    <x v="53"/>
    <s v="Functional"/>
    <s v="3/14/2024"/>
    <s v="Surface"/>
    <s v="Minor"/>
    <s v="Manual Testing"/>
    <n v="827.74"/>
  </r>
  <r>
    <n v="82"/>
    <x v="14"/>
    <s v="Structural"/>
    <d v="2024-02-04T00:00:00"/>
    <s v="Component"/>
    <s v="Critical"/>
    <s v="Automated Testing"/>
    <n v="270.97000000000003"/>
  </r>
  <r>
    <n v="83"/>
    <x v="53"/>
    <s v="Structural"/>
    <d v="2024-11-04T00:00:00"/>
    <s v="Surface"/>
    <s v="Critical"/>
    <s v="Visual Inspection"/>
    <n v="712.98"/>
  </r>
  <r>
    <n v="84"/>
    <x v="50"/>
    <s v="Structural"/>
    <s v="6/24/2024"/>
    <s v="Component"/>
    <s v="Critical"/>
    <s v="Manual Testing"/>
    <n v="556.04999999999995"/>
  </r>
  <r>
    <n v="85"/>
    <x v="32"/>
    <s v="Structural"/>
    <s v="4/27/2024"/>
    <s v="Component"/>
    <s v="Minor"/>
    <s v="Manual Testing"/>
    <n v="200.11"/>
  </r>
  <r>
    <n v="86"/>
    <x v="55"/>
    <s v="Structural"/>
    <s v="1/14/2024"/>
    <s v="Component"/>
    <s v="Moderate"/>
    <s v="Automated Testing"/>
    <n v="660.05"/>
  </r>
  <r>
    <n v="87"/>
    <x v="48"/>
    <s v="Structural"/>
    <s v="1/21/2024"/>
    <s v="Component"/>
    <s v="Moderate"/>
    <s v="Manual Testing"/>
    <n v="220.96"/>
  </r>
  <r>
    <n v="88"/>
    <x v="39"/>
    <s v="Functional"/>
    <d v="2024-09-02T00:00:00"/>
    <s v="Component"/>
    <s v="Critical"/>
    <s v="Visual Inspection"/>
    <n v="776.54"/>
  </r>
  <r>
    <n v="89"/>
    <x v="1"/>
    <s v="Functional"/>
    <d v="2024-01-05T00:00:00"/>
    <s v="Surface"/>
    <s v="Moderate"/>
    <s v="Visual Inspection"/>
    <n v="920.26"/>
  </r>
  <r>
    <n v="90"/>
    <x v="27"/>
    <s v="Structural"/>
    <s v="2/17/2024"/>
    <s v="Internal"/>
    <s v="Moderate"/>
    <s v="Visual Inspection"/>
    <n v="492.22"/>
  </r>
  <r>
    <n v="91"/>
    <x v="56"/>
    <s v="Cosmetic"/>
    <d v="2024-07-03T00:00:00"/>
    <s v="Surface"/>
    <s v="Critical"/>
    <s v="Manual Testing"/>
    <n v="513.45000000000005"/>
  </r>
  <r>
    <n v="92"/>
    <x v="57"/>
    <s v="Functional"/>
    <s v="6/30/2024"/>
    <s v="Component"/>
    <s v="Moderate"/>
    <s v="Automated Testing"/>
    <n v="286.27999999999997"/>
  </r>
  <r>
    <n v="93"/>
    <x v="3"/>
    <s v="Functional"/>
    <d v="2024-01-04T00:00:00"/>
    <s v="Surface"/>
    <s v="Minor"/>
    <s v="Automated Testing"/>
    <n v="698.89"/>
  </r>
  <r>
    <n v="94"/>
    <x v="13"/>
    <s v="Cosmetic"/>
    <d v="2024-02-02T00:00:00"/>
    <s v="Internal"/>
    <s v="Critical"/>
    <s v="Visual Inspection"/>
    <n v="555.25"/>
  </r>
  <r>
    <n v="95"/>
    <x v="36"/>
    <s v="Cosmetic"/>
    <s v="5/16/2024"/>
    <s v="Component"/>
    <s v="Moderate"/>
    <s v="Manual Testing"/>
    <n v="465.92"/>
  </r>
  <r>
    <n v="96"/>
    <x v="50"/>
    <s v="Structural"/>
    <d v="2024-08-03T00:00:00"/>
    <s v="Component"/>
    <s v="Critical"/>
    <s v="Manual Testing"/>
    <n v="732.13"/>
  </r>
  <r>
    <n v="97"/>
    <x v="58"/>
    <s v="Structural"/>
    <s v="3/15/2024"/>
    <s v="Component"/>
    <s v="Moderate"/>
    <s v="Automated Testing"/>
    <n v="582.46"/>
  </r>
  <r>
    <n v="98"/>
    <x v="19"/>
    <s v="Cosmetic"/>
    <d v="2024-10-03T00:00:00"/>
    <s v="Component"/>
    <s v="Moderate"/>
    <s v="Visual Inspection"/>
    <n v="647.70000000000005"/>
  </r>
  <r>
    <n v="99"/>
    <x v="19"/>
    <s v="Structural"/>
    <d v="2024-08-04T00:00:00"/>
    <s v="Component"/>
    <s v="Critical"/>
    <s v="Visual Inspection"/>
    <n v="536.57000000000005"/>
  </r>
  <r>
    <n v="100"/>
    <x v="59"/>
    <s v="Functional"/>
    <s v="4/24/2024"/>
    <s v="Surface"/>
    <s v="Minor"/>
    <s v="Visual Inspection"/>
    <n v="673.85"/>
  </r>
  <r>
    <n v="101"/>
    <x v="60"/>
    <s v="Structural"/>
    <s v="1/25/2024"/>
    <s v="Internal"/>
    <s v="Minor"/>
    <s v="Manual Testing"/>
    <n v="871.1"/>
  </r>
  <r>
    <n v="102"/>
    <x v="37"/>
    <s v="Structural"/>
    <s v="6/25/2024"/>
    <s v="Internal"/>
    <s v="Critical"/>
    <s v="Visual Inspection"/>
    <n v="973.66"/>
  </r>
  <r>
    <n v="103"/>
    <x v="12"/>
    <s v="Functional"/>
    <s v="5/31/2024"/>
    <s v="Internal"/>
    <s v="Critical"/>
    <s v="Visual Inspection"/>
    <n v="787.42"/>
  </r>
  <r>
    <n v="104"/>
    <x v="61"/>
    <s v="Structural"/>
    <s v="6/25/2024"/>
    <s v="Surface"/>
    <s v="Minor"/>
    <s v="Manual Testing"/>
    <n v="338.48"/>
  </r>
  <r>
    <n v="105"/>
    <x v="33"/>
    <s v="Structural"/>
    <s v="4/30/2024"/>
    <s v="Component"/>
    <s v="Critical"/>
    <s v="Visual Inspection"/>
    <n v="922.07"/>
  </r>
  <r>
    <n v="106"/>
    <x v="39"/>
    <s v="Functional"/>
    <s v="5/14/2024"/>
    <s v="Surface"/>
    <s v="Moderate"/>
    <s v="Manual Testing"/>
    <n v="137.41"/>
  </r>
  <r>
    <n v="107"/>
    <x v="16"/>
    <s v="Structural"/>
    <s v="6/28/2024"/>
    <s v="Surface"/>
    <s v="Critical"/>
    <s v="Automated Testing"/>
    <n v="17.89"/>
  </r>
  <r>
    <n v="108"/>
    <x v="62"/>
    <s v="Cosmetic"/>
    <s v="1/26/2024"/>
    <s v="Surface"/>
    <s v="Moderate"/>
    <s v="Manual Testing"/>
    <n v="210.3"/>
  </r>
  <r>
    <n v="109"/>
    <x v="61"/>
    <s v="Cosmetic"/>
    <s v="2/22/2024"/>
    <s v="Component"/>
    <s v="Critical"/>
    <s v="Automated Testing"/>
    <n v="978.5"/>
  </r>
  <r>
    <n v="110"/>
    <x v="63"/>
    <s v="Functional"/>
    <d v="2024-05-03T00:00:00"/>
    <s v="Surface"/>
    <s v="Minor"/>
    <s v="Visual Inspection"/>
    <n v="381.15"/>
  </r>
  <r>
    <n v="111"/>
    <x v="60"/>
    <s v="Structural"/>
    <d v="2024-06-05T00:00:00"/>
    <s v="Component"/>
    <s v="Moderate"/>
    <s v="Manual Testing"/>
    <n v="302.42"/>
  </r>
  <r>
    <n v="112"/>
    <x v="39"/>
    <s v="Cosmetic"/>
    <d v="2024-12-01T00:00:00"/>
    <s v="Component"/>
    <s v="Minor"/>
    <s v="Automated Testing"/>
    <n v="813.46"/>
  </r>
  <r>
    <n v="113"/>
    <x v="19"/>
    <s v="Cosmetic"/>
    <d v="2024-08-04T00:00:00"/>
    <s v="Surface"/>
    <s v="Minor"/>
    <s v="Automated Testing"/>
    <n v="998.27"/>
  </r>
  <r>
    <n v="114"/>
    <x v="64"/>
    <s v="Functional"/>
    <s v="1/25/2024"/>
    <s v="Component"/>
    <s v="Critical"/>
    <s v="Manual Testing"/>
    <n v="498.47"/>
  </r>
  <r>
    <n v="115"/>
    <x v="65"/>
    <s v="Functional"/>
    <s v="4/30/2024"/>
    <s v="Internal"/>
    <s v="Moderate"/>
    <s v="Visual Inspection"/>
    <n v="362.23"/>
  </r>
  <r>
    <n v="116"/>
    <x v="36"/>
    <s v="Cosmetic"/>
    <d v="2024-09-01T00:00:00"/>
    <s v="Internal"/>
    <s v="Critical"/>
    <s v="Visual Inspection"/>
    <n v="194.79"/>
  </r>
  <r>
    <n v="117"/>
    <x v="35"/>
    <s v="Cosmetic"/>
    <d v="2024-11-01T00:00:00"/>
    <s v="Surface"/>
    <s v="Moderate"/>
    <s v="Visual Inspection"/>
    <n v="677.65"/>
  </r>
  <r>
    <n v="118"/>
    <x v="65"/>
    <s v="Structural"/>
    <d v="2024-10-04T00:00:00"/>
    <s v="Surface"/>
    <s v="Critical"/>
    <s v="Manual Testing"/>
    <n v="310.8"/>
  </r>
  <r>
    <n v="119"/>
    <x v="66"/>
    <s v="Structural"/>
    <d v="2024-05-03T00:00:00"/>
    <s v="Surface"/>
    <s v="Minor"/>
    <s v="Visual Inspection"/>
    <n v="717.21"/>
  </r>
  <r>
    <n v="120"/>
    <x v="67"/>
    <s v="Functional"/>
    <d v="2024-08-03T00:00:00"/>
    <s v="Component"/>
    <s v="Critical"/>
    <s v="Manual Testing"/>
    <n v="641.58000000000004"/>
  </r>
  <r>
    <n v="121"/>
    <x v="11"/>
    <s v="Structural"/>
    <d v="2024-09-06T00:00:00"/>
    <s v="Internal"/>
    <s v="Minor"/>
    <s v="Manual Testing"/>
    <n v="520.84"/>
  </r>
  <r>
    <n v="122"/>
    <x v="30"/>
    <s v="Structural"/>
    <s v="4/16/2024"/>
    <s v="Surface"/>
    <s v="Critical"/>
    <s v="Manual Testing"/>
    <n v="271.18"/>
  </r>
  <r>
    <n v="123"/>
    <x v="37"/>
    <s v="Cosmetic"/>
    <d v="2024-04-02T00:00:00"/>
    <s v="Internal"/>
    <s v="Minor"/>
    <s v="Manual Testing"/>
    <n v="657.81"/>
  </r>
  <r>
    <n v="124"/>
    <x v="68"/>
    <s v="Functional"/>
    <s v="3/27/2024"/>
    <s v="Internal"/>
    <s v="Moderate"/>
    <s v="Manual Testing"/>
    <n v="620.66"/>
  </r>
  <r>
    <n v="125"/>
    <x v="11"/>
    <s v="Cosmetic"/>
    <d v="2024-10-03T00:00:00"/>
    <s v="Surface"/>
    <s v="Critical"/>
    <s v="Visual Inspection"/>
    <n v="533.03"/>
  </r>
  <r>
    <n v="126"/>
    <x v="42"/>
    <s v="Structural"/>
    <d v="2024-01-02T00:00:00"/>
    <s v="Surface"/>
    <s v="Minor"/>
    <s v="Visual Inspection"/>
    <n v="21.77"/>
  </r>
  <r>
    <n v="127"/>
    <x v="29"/>
    <s v="Cosmetic"/>
    <s v="5/19/2024"/>
    <s v="Surface"/>
    <s v="Minor"/>
    <s v="Manual Testing"/>
    <n v="302.22000000000003"/>
  </r>
  <r>
    <n v="128"/>
    <x v="32"/>
    <s v="Cosmetic"/>
    <d v="2024-02-03T00:00:00"/>
    <s v="Internal"/>
    <s v="Moderate"/>
    <s v="Automated Testing"/>
    <n v="895.38"/>
  </r>
  <r>
    <n v="129"/>
    <x v="4"/>
    <s v="Cosmetic"/>
    <s v="6/20/2024"/>
    <s v="Surface"/>
    <s v="Critical"/>
    <s v="Visual Inspection"/>
    <n v="241.61"/>
  </r>
  <r>
    <n v="130"/>
    <x v="13"/>
    <s v="Cosmetic"/>
    <d v="2024-06-04T00:00:00"/>
    <s v="Internal"/>
    <s v="Critical"/>
    <s v="Automated Testing"/>
    <n v="878.46"/>
  </r>
  <r>
    <n v="131"/>
    <x v="69"/>
    <s v="Functional"/>
    <s v="5/15/2024"/>
    <s v="Internal"/>
    <s v="Critical"/>
    <s v="Visual Inspection"/>
    <n v="268.08"/>
  </r>
  <r>
    <n v="132"/>
    <x v="16"/>
    <s v="Structural"/>
    <s v="4/23/2024"/>
    <s v="Surface"/>
    <s v="Critical"/>
    <s v="Visual Inspection"/>
    <n v="492.32"/>
  </r>
  <r>
    <n v="133"/>
    <x v="11"/>
    <s v="Structural"/>
    <s v="3/20/2024"/>
    <s v="Surface"/>
    <s v="Moderate"/>
    <s v="Manual Testing"/>
    <n v="379.78"/>
  </r>
  <r>
    <n v="134"/>
    <x v="56"/>
    <s v="Cosmetic"/>
    <d v="2024-03-02T00:00:00"/>
    <s v="Surface"/>
    <s v="Moderate"/>
    <s v="Visual Inspection"/>
    <n v="498.71"/>
  </r>
  <r>
    <n v="135"/>
    <x v="69"/>
    <s v="Cosmetic"/>
    <s v="2/15/2024"/>
    <s v="Internal"/>
    <s v="Moderate"/>
    <s v="Automated Testing"/>
    <n v="379.01"/>
  </r>
  <r>
    <n v="136"/>
    <x v="19"/>
    <s v="Functional"/>
    <s v="2/21/2024"/>
    <s v="Internal"/>
    <s v="Minor"/>
    <s v="Automated Testing"/>
    <n v="79.52"/>
  </r>
  <r>
    <n v="137"/>
    <x v="47"/>
    <s v="Functional"/>
    <s v="4/19/2024"/>
    <s v="Internal"/>
    <s v="Critical"/>
    <s v="Automated Testing"/>
    <n v="602.25"/>
  </r>
  <r>
    <n v="138"/>
    <x v="50"/>
    <s v="Structural"/>
    <d v="2024-05-03T00:00:00"/>
    <s v="Component"/>
    <s v="Critical"/>
    <s v="Automated Testing"/>
    <n v="575.71"/>
  </r>
  <r>
    <n v="139"/>
    <x v="27"/>
    <s v="Cosmetic"/>
    <s v="6/24/2024"/>
    <s v="Surface"/>
    <s v="Critical"/>
    <s v="Visual Inspection"/>
    <n v="760.33"/>
  </r>
  <r>
    <n v="140"/>
    <x v="29"/>
    <s v="Functional"/>
    <d v="2024-04-04T00:00:00"/>
    <s v="Internal"/>
    <s v="Critical"/>
    <s v="Manual Testing"/>
    <n v="955.54"/>
  </r>
  <r>
    <n v="141"/>
    <x v="17"/>
    <s v="Cosmetic"/>
    <d v="2024-06-01T00:00:00"/>
    <s v="Internal"/>
    <s v="Minor"/>
    <s v="Visual Inspection"/>
    <n v="679.88"/>
  </r>
  <r>
    <n v="142"/>
    <x v="16"/>
    <s v="Structural"/>
    <s v="3/25/2024"/>
    <s v="Internal"/>
    <s v="Critical"/>
    <s v="Visual Inspection"/>
    <n v="71.91"/>
  </r>
  <r>
    <n v="143"/>
    <x v="68"/>
    <s v="Functional"/>
    <s v="5/27/2024"/>
    <s v="Internal"/>
    <s v="Moderate"/>
    <s v="Manual Testing"/>
    <n v="916.79"/>
  </r>
  <r>
    <n v="144"/>
    <x v="10"/>
    <s v="Cosmetic"/>
    <s v="6/18/2024"/>
    <s v="Internal"/>
    <s v="Moderate"/>
    <s v="Manual Testing"/>
    <n v="558.34"/>
  </r>
  <r>
    <n v="145"/>
    <x v="26"/>
    <s v="Structural"/>
    <s v="1/16/2024"/>
    <s v="Internal"/>
    <s v="Minor"/>
    <s v="Manual Testing"/>
    <n v="23.02"/>
  </r>
  <r>
    <n v="146"/>
    <x v="45"/>
    <s v="Cosmetic"/>
    <s v="4/26/2024"/>
    <s v="Internal"/>
    <s v="Minor"/>
    <s v="Visual Inspection"/>
    <n v="346.23"/>
  </r>
  <r>
    <n v="147"/>
    <x v="10"/>
    <s v="Structural"/>
    <d v="2024-05-04T00:00:00"/>
    <s v="Internal"/>
    <s v="Critical"/>
    <s v="Automated Testing"/>
    <n v="926.31"/>
  </r>
  <r>
    <n v="148"/>
    <x v="2"/>
    <s v="Cosmetic"/>
    <s v="1/29/2024"/>
    <s v="Internal"/>
    <s v="Critical"/>
    <s v="Automated Testing"/>
    <n v="783.88"/>
  </r>
  <r>
    <n v="149"/>
    <x v="70"/>
    <s v="Cosmetic"/>
    <s v="1/25/2024"/>
    <s v="Surface"/>
    <s v="Moderate"/>
    <s v="Automated Testing"/>
    <n v="747.18"/>
  </r>
  <r>
    <n v="150"/>
    <x v="15"/>
    <s v="Functional"/>
    <s v="3/22/2024"/>
    <s v="Surface"/>
    <s v="Critical"/>
    <s v="Manual Testing"/>
    <n v="415.84"/>
  </r>
  <r>
    <n v="151"/>
    <x v="69"/>
    <s v="Structural"/>
    <d v="2024-07-06T00:00:00"/>
    <s v="Component"/>
    <s v="Minor"/>
    <s v="Visual Inspection"/>
    <n v="502.15"/>
  </r>
  <r>
    <n v="152"/>
    <x v="62"/>
    <s v="Structural"/>
    <s v="1/27/2024"/>
    <s v="Internal"/>
    <s v="Moderate"/>
    <s v="Manual Testing"/>
    <n v="94.7"/>
  </r>
  <r>
    <n v="153"/>
    <x v="16"/>
    <s v="Cosmetic"/>
    <d v="2024-09-01T00:00:00"/>
    <s v="Surface"/>
    <s v="Minor"/>
    <s v="Manual Testing"/>
    <n v="426.04"/>
  </r>
  <r>
    <n v="154"/>
    <x v="54"/>
    <s v="Cosmetic"/>
    <d v="2024-03-05T00:00:00"/>
    <s v="Surface"/>
    <s v="Moderate"/>
    <s v="Automated Testing"/>
    <n v="380.52"/>
  </r>
  <r>
    <n v="155"/>
    <x v="3"/>
    <s v="Structural"/>
    <s v="1/24/2024"/>
    <s v="Component"/>
    <s v="Minor"/>
    <s v="Visual Inspection"/>
    <n v="935.64"/>
  </r>
  <r>
    <n v="156"/>
    <x v="58"/>
    <s v="Functional"/>
    <s v="5/21/2024"/>
    <s v="Internal"/>
    <s v="Minor"/>
    <s v="Manual Testing"/>
    <n v="595.9"/>
  </r>
  <r>
    <n v="157"/>
    <x v="71"/>
    <s v="Functional"/>
    <d v="2024-07-05T00:00:00"/>
    <s v="Surface"/>
    <s v="Minor"/>
    <s v="Manual Testing"/>
    <n v="788.22"/>
  </r>
  <r>
    <n v="158"/>
    <x v="71"/>
    <s v="Functional"/>
    <s v="1/16/2024"/>
    <s v="Surface"/>
    <s v="Critical"/>
    <s v="Visual Inspection"/>
    <n v="465.74"/>
  </r>
  <r>
    <n v="159"/>
    <x v="72"/>
    <s v="Structural"/>
    <s v="5/19/2024"/>
    <s v="Internal"/>
    <s v="Moderate"/>
    <s v="Automated Testing"/>
    <n v="661.8"/>
  </r>
  <r>
    <n v="160"/>
    <x v="73"/>
    <s v="Structural"/>
    <s v="5/17/2024"/>
    <s v="Surface"/>
    <s v="Moderate"/>
    <s v="Manual Testing"/>
    <n v="532.77"/>
  </r>
  <r>
    <n v="161"/>
    <x v="58"/>
    <s v="Cosmetic"/>
    <s v="5/21/2024"/>
    <s v="Component"/>
    <s v="Minor"/>
    <s v="Visual Inspection"/>
    <n v="612.03"/>
  </r>
  <r>
    <n v="162"/>
    <x v="58"/>
    <s v="Functional"/>
    <d v="2024-09-02T00:00:00"/>
    <s v="Component"/>
    <s v="Moderate"/>
    <s v="Manual Testing"/>
    <n v="614.11"/>
  </r>
  <r>
    <n v="163"/>
    <x v="31"/>
    <s v="Cosmetic"/>
    <s v="1/30/2024"/>
    <s v="Surface"/>
    <s v="Minor"/>
    <s v="Manual Testing"/>
    <n v="238.39"/>
  </r>
  <r>
    <n v="164"/>
    <x v="1"/>
    <s v="Structural"/>
    <s v="4/20/2024"/>
    <s v="Internal"/>
    <s v="Minor"/>
    <s v="Visual Inspection"/>
    <n v="986.51"/>
  </r>
  <r>
    <n v="165"/>
    <x v="8"/>
    <s v="Cosmetic"/>
    <d v="2024-06-05T00:00:00"/>
    <s v="Component"/>
    <s v="Critical"/>
    <s v="Automated Testing"/>
    <n v="796.76"/>
  </r>
  <r>
    <n v="166"/>
    <x v="74"/>
    <s v="Functional"/>
    <s v="2/15/2024"/>
    <s v="Component"/>
    <s v="Minor"/>
    <s v="Visual Inspection"/>
    <n v="105.27"/>
  </r>
  <r>
    <n v="167"/>
    <x v="66"/>
    <s v="Cosmetic"/>
    <s v="1/27/2024"/>
    <s v="Surface"/>
    <s v="Moderate"/>
    <s v="Automated Testing"/>
    <n v="950.97"/>
  </r>
  <r>
    <n v="168"/>
    <x v="4"/>
    <s v="Structural"/>
    <s v="6/29/2024"/>
    <s v="Surface"/>
    <s v="Critical"/>
    <s v="Visual Inspection"/>
    <n v="517.41"/>
  </r>
  <r>
    <n v="169"/>
    <x v="55"/>
    <s v="Cosmetic"/>
    <d v="2024-03-06T00:00:00"/>
    <s v="Surface"/>
    <s v="Critical"/>
    <s v="Manual Testing"/>
    <n v="789.62"/>
  </r>
  <r>
    <n v="170"/>
    <x v="75"/>
    <s v="Functional"/>
    <s v="5/16/2024"/>
    <s v="Internal"/>
    <s v="Moderate"/>
    <s v="Visual Inspection"/>
    <n v="942.03"/>
  </r>
  <r>
    <n v="171"/>
    <x v="14"/>
    <s v="Cosmetic"/>
    <s v="4/26/2024"/>
    <s v="Surface"/>
    <s v="Moderate"/>
    <s v="Manual Testing"/>
    <n v="352.05"/>
  </r>
  <r>
    <n v="172"/>
    <x v="26"/>
    <s v="Cosmetic"/>
    <d v="2024-02-01T00:00:00"/>
    <s v="Component"/>
    <s v="Critical"/>
    <s v="Automated Testing"/>
    <n v="10.220000000000001"/>
  </r>
  <r>
    <n v="173"/>
    <x v="14"/>
    <s v="Cosmetic"/>
    <s v="3/29/2024"/>
    <s v="Component"/>
    <s v="Moderate"/>
    <s v="Automated Testing"/>
    <n v="932.23"/>
  </r>
  <r>
    <n v="174"/>
    <x v="30"/>
    <s v="Functional"/>
    <s v="5/29/2024"/>
    <s v="Surface"/>
    <s v="Critical"/>
    <s v="Automated Testing"/>
    <n v="715.22"/>
  </r>
  <r>
    <n v="175"/>
    <x v="1"/>
    <s v="Structural"/>
    <s v="2/19/2024"/>
    <s v="Internal"/>
    <s v="Moderate"/>
    <s v="Manual Testing"/>
    <n v="999.64"/>
  </r>
  <r>
    <n v="176"/>
    <x v="21"/>
    <s v="Structural"/>
    <d v="2024-09-03T00:00:00"/>
    <s v="Surface"/>
    <s v="Critical"/>
    <s v="Manual Testing"/>
    <n v="952.49"/>
  </r>
  <r>
    <n v="177"/>
    <x v="74"/>
    <s v="Structural"/>
    <s v="1/21/2024"/>
    <s v="Internal"/>
    <s v="Minor"/>
    <s v="Manual Testing"/>
    <n v="174.76"/>
  </r>
  <r>
    <n v="178"/>
    <x v="30"/>
    <s v="Functional"/>
    <s v="1/17/2024"/>
    <s v="Internal"/>
    <s v="Minor"/>
    <s v="Visual Inspection"/>
    <n v="755.15"/>
  </r>
  <r>
    <n v="179"/>
    <x v="63"/>
    <s v="Structural"/>
    <s v="4/23/2024"/>
    <s v="Surface"/>
    <s v="Moderate"/>
    <s v="Automated Testing"/>
    <n v="532.6"/>
  </r>
  <r>
    <n v="180"/>
    <x v="35"/>
    <s v="Structural"/>
    <d v="2024-07-01T00:00:00"/>
    <s v="Component"/>
    <s v="Minor"/>
    <s v="Manual Testing"/>
    <n v="854.25"/>
  </r>
  <r>
    <n v="181"/>
    <x v="73"/>
    <s v="Functional"/>
    <s v="2/29/2024"/>
    <s v="Internal"/>
    <s v="Minor"/>
    <s v="Automated Testing"/>
    <n v="383.83"/>
  </r>
  <r>
    <n v="182"/>
    <x v="67"/>
    <s v="Functional"/>
    <s v="1/27/2024"/>
    <s v="Internal"/>
    <s v="Moderate"/>
    <s v="Manual Testing"/>
    <n v="80"/>
  </r>
  <r>
    <n v="183"/>
    <x v="59"/>
    <s v="Structural"/>
    <d v="2024-02-02T00:00:00"/>
    <s v="Component"/>
    <s v="Critical"/>
    <s v="Visual Inspection"/>
    <n v="970.31"/>
  </r>
  <r>
    <n v="184"/>
    <x v="4"/>
    <s v="Functional"/>
    <d v="2024-09-02T00:00:00"/>
    <s v="Internal"/>
    <s v="Moderate"/>
    <s v="Visual Inspection"/>
    <n v="517.63"/>
  </r>
  <r>
    <n v="185"/>
    <x v="35"/>
    <s v="Structural"/>
    <s v="1/15/2024"/>
    <s v="Surface"/>
    <s v="Moderate"/>
    <s v="Automated Testing"/>
    <n v="81.33"/>
  </r>
  <r>
    <n v="186"/>
    <x v="76"/>
    <s v="Structural"/>
    <s v="3/29/2024"/>
    <s v="Component"/>
    <s v="Critical"/>
    <s v="Manual Testing"/>
    <n v="540.91999999999996"/>
  </r>
  <r>
    <n v="187"/>
    <x v="21"/>
    <s v="Cosmetic"/>
    <s v="4/27/2024"/>
    <s v="Internal"/>
    <s v="Critical"/>
    <s v="Visual Inspection"/>
    <n v="280.77"/>
  </r>
  <r>
    <n v="188"/>
    <x v="58"/>
    <s v="Structural"/>
    <d v="2024-02-06T00:00:00"/>
    <s v="Internal"/>
    <s v="Moderate"/>
    <s v="Automated Testing"/>
    <n v="87.28"/>
  </r>
  <r>
    <n v="189"/>
    <x v="77"/>
    <s v="Cosmetic"/>
    <s v="2/23/2024"/>
    <s v="Surface"/>
    <s v="Minor"/>
    <s v="Manual Testing"/>
    <n v="306.56"/>
  </r>
  <r>
    <n v="190"/>
    <x v="75"/>
    <s v="Functional"/>
    <s v="6/22/2024"/>
    <s v="Surface"/>
    <s v="Critical"/>
    <s v="Automated Testing"/>
    <n v="86.46"/>
  </r>
  <r>
    <n v="191"/>
    <x v="67"/>
    <s v="Cosmetic"/>
    <d v="2024-12-01T00:00:00"/>
    <s v="Surface"/>
    <s v="Critical"/>
    <s v="Manual Testing"/>
    <n v="13.03"/>
  </r>
  <r>
    <n v="192"/>
    <x v="77"/>
    <s v="Functional"/>
    <s v="3/21/2024"/>
    <s v="Component"/>
    <s v="Critical"/>
    <s v="Visual Inspection"/>
    <n v="525.07000000000005"/>
  </r>
  <r>
    <n v="193"/>
    <x v="17"/>
    <s v="Cosmetic"/>
    <s v="5/21/2024"/>
    <s v="Component"/>
    <s v="Critical"/>
    <s v="Manual Testing"/>
    <n v="219.71"/>
  </r>
  <r>
    <n v="194"/>
    <x v="61"/>
    <s v="Structural"/>
    <d v="2024-03-03T00:00:00"/>
    <s v="Component"/>
    <s v="Critical"/>
    <s v="Visual Inspection"/>
    <n v="192.21"/>
  </r>
  <r>
    <n v="195"/>
    <x v="5"/>
    <s v="Structural"/>
    <s v="2/18/2024"/>
    <s v="Component"/>
    <s v="Moderate"/>
    <s v="Automated Testing"/>
    <n v="924.13"/>
  </r>
  <r>
    <n v="196"/>
    <x v="78"/>
    <s v="Structural"/>
    <s v="6/21/2024"/>
    <s v="Component"/>
    <s v="Minor"/>
    <s v="Manual Testing"/>
    <n v="65.23"/>
  </r>
  <r>
    <n v="197"/>
    <x v="79"/>
    <s v="Cosmetic"/>
    <s v="5/28/2024"/>
    <s v="Internal"/>
    <s v="Moderate"/>
    <s v="Automated Testing"/>
    <n v="481.7"/>
  </r>
  <r>
    <n v="198"/>
    <x v="17"/>
    <s v="Cosmetic"/>
    <s v="4/14/2024"/>
    <s v="Surface"/>
    <s v="Minor"/>
    <s v="Manual Testing"/>
    <n v="561.27"/>
  </r>
  <r>
    <n v="199"/>
    <x v="54"/>
    <s v="Structural"/>
    <s v="1/30/2024"/>
    <s v="Internal"/>
    <s v="Moderate"/>
    <s v="Visual Inspection"/>
    <n v="169.54"/>
  </r>
  <r>
    <n v="200"/>
    <x v="80"/>
    <s v="Cosmetic"/>
    <d v="2024-04-04T00:00:00"/>
    <s v="Surface"/>
    <s v="Moderate"/>
    <s v="Visual Inspection"/>
    <n v="629.38"/>
  </r>
  <r>
    <n v="201"/>
    <x v="59"/>
    <s v="Cosmetic"/>
    <d v="2024-04-01T00:00:00"/>
    <s v="Surface"/>
    <s v="Critical"/>
    <s v="Automated Testing"/>
    <n v="783.36"/>
  </r>
  <r>
    <n v="202"/>
    <x v="62"/>
    <s v="Structural"/>
    <s v="5/25/2024"/>
    <s v="Surface"/>
    <s v="Moderate"/>
    <s v="Automated Testing"/>
    <n v="102.88"/>
  </r>
  <r>
    <n v="203"/>
    <x v="48"/>
    <s v="Structural"/>
    <d v="2024-05-04T00:00:00"/>
    <s v="Component"/>
    <s v="Minor"/>
    <s v="Manual Testing"/>
    <n v="269.04000000000002"/>
  </r>
  <r>
    <n v="204"/>
    <x v="81"/>
    <s v="Functional"/>
    <s v="1/20/2024"/>
    <s v="Surface"/>
    <s v="Moderate"/>
    <s v="Visual Inspection"/>
    <n v="257.33"/>
  </r>
  <r>
    <n v="205"/>
    <x v="5"/>
    <s v="Structural"/>
    <s v="5/28/2024"/>
    <s v="Component"/>
    <s v="Critical"/>
    <s v="Automated Testing"/>
    <n v="824.37"/>
  </r>
  <r>
    <n v="206"/>
    <x v="82"/>
    <s v="Functional"/>
    <s v="5/29/2024"/>
    <s v="Surface"/>
    <s v="Minor"/>
    <s v="Manual Testing"/>
    <n v="303.58999999999997"/>
  </r>
  <r>
    <n v="207"/>
    <x v="53"/>
    <s v="Functional"/>
    <s v="4/22/2024"/>
    <s v="Internal"/>
    <s v="Critical"/>
    <s v="Automated Testing"/>
    <n v="793.3"/>
  </r>
  <r>
    <n v="208"/>
    <x v="48"/>
    <s v="Functional"/>
    <s v="1/31/2024"/>
    <s v="Surface"/>
    <s v="Critical"/>
    <s v="Manual Testing"/>
    <n v="929.05"/>
  </r>
  <r>
    <n v="209"/>
    <x v="79"/>
    <s v="Functional"/>
    <s v="5/20/2024"/>
    <s v="Internal"/>
    <s v="Moderate"/>
    <s v="Manual Testing"/>
    <n v="473.36"/>
  </r>
  <r>
    <n v="210"/>
    <x v="82"/>
    <s v="Functional"/>
    <s v="1/25/2024"/>
    <s v="Surface"/>
    <s v="Minor"/>
    <s v="Automated Testing"/>
    <n v="478.17"/>
  </r>
  <r>
    <n v="211"/>
    <x v="69"/>
    <s v="Structural"/>
    <d v="2024-12-03T00:00:00"/>
    <s v="Component"/>
    <s v="Critical"/>
    <s v="Manual Testing"/>
    <n v="430.49"/>
  </r>
  <r>
    <n v="212"/>
    <x v="53"/>
    <s v="Functional"/>
    <d v="2024-07-05T00:00:00"/>
    <s v="Surface"/>
    <s v="Moderate"/>
    <s v="Automated Testing"/>
    <n v="460.93"/>
  </r>
  <r>
    <n v="213"/>
    <x v="54"/>
    <s v="Cosmetic"/>
    <s v="1/30/2024"/>
    <s v="Internal"/>
    <s v="Moderate"/>
    <s v="Visual Inspection"/>
    <n v="917.3"/>
  </r>
  <r>
    <n v="214"/>
    <x v="24"/>
    <s v="Structural"/>
    <d v="2024-02-01T00:00:00"/>
    <s v="Surface"/>
    <s v="Minor"/>
    <s v="Manual Testing"/>
    <n v="520.21"/>
  </r>
  <r>
    <n v="215"/>
    <x v="83"/>
    <s v="Functional"/>
    <d v="2024-07-01T00:00:00"/>
    <s v="Internal"/>
    <s v="Critical"/>
    <s v="Manual Testing"/>
    <n v="575.58000000000004"/>
  </r>
  <r>
    <n v="216"/>
    <x v="44"/>
    <s v="Structural"/>
    <s v="1/13/2024"/>
    <s v="Internal"/>
    <s v="Moderate"/>
    <s v="Visual Inspection"/>
    <n v="296.41000000000003"/>
  </r>
  <r>
    <n v="217"/>
    <x v="3"/>
    <s v="Cosmetic"/>
    <s v="5/28/2024"/>
    <s v="Surface"/>
    <s v="Critical"/>
    <s v="Automated Testing"/>
    <n v="622.98"/>
  </r>
  <r>
    <n v="218"/>
    <x v="76"/>
    <s v="Functional"/>
    <d v="2024-10-05T00:00:00"/>
    <s v="Internal"/>
    <s v="Critical"/>
    <s v="Visual Inspection"/>
    <n v="484.08"/>
  </r>
  <r>
    <n v="219"/>
    <x v="32"/>
    <s v="Cosmetic"/>
    <s v="4/26/2024"/>
    <s v="Component"/>
    <s v="Critical"/>
    <s v="Manual Testing"/>
    <n v="479.31"/>
  </r>
  <r>
    <n v="220"/>
    <x v="42"/>
    <s v="Functional"/>
    <d v="2024-05-04T00:00:00"/>
    <s v="Surface"/>
    <s v="Minor"/>
    <s v="Manual Testing"/>
    <n v="624.22"/>
  </r>
  <r>
    <n v="221"/>
    <x v="33"/>
    <s v="Functional"/>
    <d v="2024-11-06T00:00:00"/>
    <s v="Component"/>
    <s v="Critical"/>
    <s v="Manual Testing"/>
    <n v="777.18"/>
  </r>
  <r>
    <n v="222"/>
    <x v="17"/>
    <s v="Functional"/>
    <d v="2024-12-02T00:00:00"/>
    <s v="Component"/>
    <s v="Critical"/>
    <s v="Automated Testing"/>
    <n v="842.93"/>
  </r>
  <r>
    <n v="223"/>
    <x v="12"/>
    <s v="Cosmetic"/>
    <s v="1/26/2024"/>
    <s v="Surface"/>
    <s v="Critical"/>
    <s v="Manual Testing"/>
    <n v="974.99"/>
  </r>
  <r>
    <n v="224"/>
    <x v="30"/>
    <s v="Functional"/>
    <s v="4/24/2024"/>
    <s v="Component"/>
    <s v="Critical"/>
    <s v="Manual Testing"/>
    <n v="989.81"/>
  </r>
  <r>
    <n v="225"/>
    <x v="35"/>
    <s v="Structural"/>
    <s v="4/23/2024"/>
    <s v="Component"/>
    <s v="Moderate"/>
    <s v="Visual Inspection"/>
    <n v="484.04"/>
  </r>
  <r>
    <n v="226"/>
    <x v="72"/>
    <s v="Cosmetic"/>
    <d v="2024-04-06T00:00:00"/>
    <s v="Internal"/>
    <s v="Minor"/>
    <s v="Automated Testing"/>
    <n v="38.39"/>
  </r>
  <r>
    <n v="227"/>
    <x v="84"/>
    <s v="Functional"/>
    <s v="6/23/2024"/>
    <s v="Surface"/>
    <s v="Minor"/>
    <s v="Visual Inspection"/>
    <n v="334.53"/>
  </r>
  <r>
    <n v="228"/>
    <x v="85"/>
    <s v="Functional"/>
    <d v="2024-04-02T00:00:00"/>
    <s v="Component"/>
    <s v="Moderate"/>
    <s v="Manual Testing"/>
    <n v="580.74"/>
  </r>
  <r>
    <n v="229"/>
    <x v="8"/>
    <s v="Functional"/>
    <s v="3/24/2024"/>
    <s v="Surface"/>
    <s v="Critical"/>
    <s v="Manual Testing"/>
    <n v="638.28"/>
  </r>
  <r>
    <n v="230"/>
    <x v="86"/>
    <s v="Structural"/>
    <s v="1/28/2024"/>
    <s v="Component"/>
    <s v="Minor"/>
    <s v="Manual Testing"/>
    <n v="727.86"/>
  </r>
  <r>
    <n v="231"/>
    <x v="87"/>
    <s v="Structural"/>
    <d v="2024-11-03T00:00:00"/>
    <s v="Internal"/>
    <s v="Moderate"/>
    <s v="Manual Testing"/>
    <n v="117.74"/>
  </r>
  <r>
    <n v="232"/>
    <x v="14"/>
    <s v="Functional"/>
    <s v="5/25/2024"/>
    <s v="Component"/>
    <s v="Critical"/>
    <s v="Automated Testing"/>
    <n v="891.94"/>
  </r>
  <r>
    <n v="233"/>
    <x v="15"/>
    <s v="Structural"/>
    <s v="3/17/2024"/>
    <s v="Surface"/>
    <s v="Minor"/>
    <s v="Visual Inspection"/>
    <n v="440.58"/>
  </r>
  <r>
    <n v="234"/>
    <x v="22"/>
    <s v="Structural"/>
    <s v="2/17/2024"/>
    <s v="Internal"/>
    <s v="Minor"/>
    <s v="Automated Testing"/>
    <n v="310.95999999999998"/>
  </r>
  <r>
    <n v="235"/>
    <x v="75"/>
    <s v="Cosmetic"/>
    <s v="1/28/2024"/>
    <s v="Internal"/>
    <s v="Critical"/>
    <s v="Manual Testing"/>
    <n v="430.74"/>
  </r>
  <r>
    <n v="236"/>
    <x v="42"/>
    <s v="Cosmetic"/>
    <d v="2024-05-05T00:00:00"/>
    <s v="Surface"/>
    <s v="Minor"/>
    <s v="Automated Testing"/>
    <n v="47.99"/>
  </r>
  <r>
    <n v="237"/>
    <x v="49"/>
    <s v="Cosmetic"/>
    <s v="6/30/2024"/>
    <s v="Component"/>
    <s v="Moderate"/>
    <s v="Visual Inspection"/>
    <n v="728.13"/>
  </r>
  <r>
    <n v="238"/>
    <x v="54"/>
    <s v="Structural"/>
    <d v="2024-06-02T00:00:00"/>
    <s v="Component"/>
    <s v="Critical"/>
    <s v="Visual Inspection"/>
    <n v="890.35"/>
  </r>
  <r>
    <n v="239"/>
    <x v="86"/>
    <s v="Functional"/>
    <d v="2024-12-03T00:00:00"/>
    <s v="Surface"/>
    <s v="Minor"/>
    <s v="Manual Testing"/>
    <n v="356.55"/>
  </r>
  <r>
    <n v="240"/>
    <x v="4"/>
    <s v="Structural"/>
    <d v="2024-04-05T00:00:00"/>
    <s v="Internal"/>
    <s v="Moderate"/>
    <s v="Visual Inspection"/>
    <n v="271.51"/>
  </r>
  <r>
    <n v="241"/>
    <x v="67"/>
    <s v="Structural"/>
    <s v="3/19/2024"/>
    <s v="Surface"/>
    <s v="Minor"/>
    <s v="Manual Testing"/>
    <n v="288.31"/>
  </r>
  <r>
    <n v="242"/>
    <x v="21"/>
    <s v="Functional"/>
    <d v="2024-08-02T00:00:00"/>
    <s v="Component"/>
    <s v="Critical"/>
    <s v="Automated Testing"/>
    <n v="663.49"/>
  </r>
  <r>
    <n v="243"/>
    <x v="44"/>
    <s v="Functional"/>
    <s v="6/18/2024"/>
    <s v="Internal"/>
    <s v="Moderate"/>
    <s v="Manual Testing"/>
    <n v="711.77"/>
  </r>
  <r>
    <n v="244"/>
    <x v="19"/>
    <s v="Structural"/>
    <d v="2024-04-06T00:00:00"/>
    <s v="Surface"/>
    <s v="Moderate"/>
    <s v="Visual Inspection"/>
    <n v="822.12"/>
  </r>
  <r>
    <n v="245"/>
    <x v="52"/>
    <s v="Cosmetic"/>
    <s v="5/27/2024"/>
    <s v="Component"/>
    <s v="Critical"/>
    <s v="Visual Inspection"/>
    <n v="889.52"/>
  </r>
  <r>
    <n v="246"/>
    <x v="18"/>
    <s v="Structural"/>
    <s v="3/30/2024"/>
    <s v="Surface"/>
    <s v="Minor"/>
    <s v="Automated Testing"/>
    <n v="471.55"/>
  </r>
  <r>
    <n v="247"/>
    <x v="34"/>
    <s v="Cosmetic"/>
    <s v="4/22/2024"/>
    <s v="Internal"/>
    <s v="Critical"/>
    <s v="Automated Testing"/>
    <n v="136.69"/>
  </r>
  <r>
    <n v="248"/>
    <x v="38"/>
    <s v="Structural"/>
    <s v="3/27/2024"/>
    <s v="Component"/>
    <s v="Minor"/>
    <s v="Automated Testing"/>
    <n v="148.61000000000001"/>
  </r>
  <r>
    <n v="249"/>
    <x v="21"/>
    <s v="Structural"/>
    <s v="5/16/2024"/>
    <s v="Surface"/>
    <s v="Moderate"/>
    <s v="Manual Testing"/>
    <n v="768.39"/>
  </r>
  <r>
    <n v="250"/>
    <x v="38"/>
    <s v="Cosmetic"/>
    <d v="2024-07-06T00:00:00"/>
    <s v="Component"/>
    <s v="Moderate"/>
    <s v="Manual Testing"/>
    <n v="545.52"/>
  </r>
  <r>
    <n v="251"/>
    <x v="20"/>
    <s v="Structural"/>
    <s v="1/29/2024"/>
    <s v="Component"/>
    <s v="Moderate"/>
    <s v="Automated Testing"/>
    <n v="978.58"/>
  </r>
  <r>
    <n v="252"/>
    <x v="32"/>
    <s v="Cosmetic"/>
    <s v="5/16/2024"/>
    <s v="Internal"/>
    <s v="Critical"/>
    <s v="Visual Inspection"/>
    <n v="62.59"/>
  </r>
  <r>
    <n v="253"/>
    <x v="26"/>
    <s v="Functional"/>
    <d v="2024-01-05T00:00:00"/>
    <s v="Component"/>
    <s v="Minor"/>
    <s v="Automated Testing"/>
    <n v="146.53"/>
  </r>
  <r>
    <n v="254"/>
    <x v="20"/>
    <s v="Functional"/>
    <d v="2024-02-05T00:00:00"/>
    <s v="Surface"/>
    <s v="Minor"/>
    <s v="Automated Testing"/>
    <n v="168.3"/>
  </r>
  <r>
    <n v="255"/>
    <x v="16"/>
    <s v="Cosmetic"/>
    <d v="2024-02-01T00:00:00"/>
    <s v="Internal"/>
    <s v="Critical"/>
    <s v="Manual Testing"/>
    <n v="225.2"/>
  </r>
  <r>
    <n v="256"/>
    <x v="84"/>
    <s v="Structural"/>
    <s v="6/18/2024"/>
    <s v="Surface"/>
    <s v="Minor"/>
    <s v="Manual Testing"/>
    <n v="875.37"/>
  </r>
  <r>
    <n v="257"/>
    <x v="87"/>
    <s v="Structural"/>
    <d v="2024-03-06T00:00:00"/>
    <s v="Surface"/>
    <s v="Minor"/>
    <s v="Manual Testing"/>
    <n v="772.77"/>
  </r>
  <r>
    <n v="258"/>
    <x v="80"/>
    <s v="Structural"/>
    <d v="2024-07-05T00:00:00"/>
    <s v="Component"/>
    <s v="Minor"/>
    <s v="Automated Testing"/>
    <n v="617.12"/>
  </r>
  <r>
    <n v="259"/>
    <x v="14"/>
    <s v="Functional"/>
    <s v="3/20/2024"/>
    <s v="Surface"/>
    <s v="Moderate"/>
    <s v="Manual Testing"/>
    <n v="900.61"/>
  </r>
  <r>
    <n v="260"/>
    <x v="55"/>
    <s v="Structural"/>
    <d v="2024-03-03T00:00:00"/>
    <s v="Surface"/>
    <s v="Minor"/>
    <s v="Manual Testing"/>
    <n v="159.25"/>
  </r>
  <r>
    <n v="261"/>
    <x v="82"/>
    <s v="Functional"/>
    <d v="2024-02-03T00:00:00"/>
    <s v="Internal"/>
    <s v="Minor"/>
    <s v="Manual Testing"/>
    <n v="16.62"/>
  </r>
  <r>
    <n v="262"/>
    <x v="72"/>
    <s v="Functional"/>
    <s v="2/25/2024"/>
    <s v="Surface"/>
    <s v="Minor"/>
    <s v="Automated Testing"/>
    <n v="906.96"/>
  </r>
  <r>
    <n v="263"/>
    <x v="71"/>
    <s v="Functional"/>
    <d v="2024-03-05T00:00:00"/>
    <s v="Internal"/>
    <s v="Minor"/>
    <s v="Manual Testing"/>
    <n v="446.61"/>
  </r>
  <r>
    <n v="264"/>
    <x v="22"/>
    <s v="Structural"/>
    <s v="1/29/2024"/>
    <s v="Surface"/>
    <s v="Minor"/>
    <s v="Manual Testing"/>
    <n v="406.06"/>
  </r>
  <r>
    <n v="265"/>
    <x v="88"/>
    <s v="Structural"/>
    <d v="2024-08-06T00:00:00"/>
    <s v="Component"/>
    <s v="Minor"/>
    <s v="Automated Testing"/>
    <n v="286.25"/>
  </r>
  <r>
    <n v="266"/>
    <x v="14"/>
    <s v="Structural"/>
    <s v="6/22/2024"/>
    <s v="Surface"/>
    <s v="Critical"/>
    <s v="Manual Testing"/>
    <n v="319.60000000000002"/>
  </r>
  <r>
    <n v="267"/>
    <x v="89"/>
    <s v="Functional"/>
    <d v="2024-04-06T00:00:00"/>
    <s v="Surface"/>
    <s v="Moderate"/>
    <s v="Manual Testing"/>
    <n v="798.16"/>
  </r>
  <r>
    <n v="268"/>
    <x v="28"/>
    <s v="Functional"/>
    <d v="2024-05-01T00:00:00"/>
    <s v="Component"/>
    <s v="Critical"/>
    <s v="Manual Testing"/>
    <n v="674.23"/>
  </r>
  <r>
    <n v="269"/>
    <x v="66"/>
    <s v="Cosmetic"/>
    <d v="2024-09-03T00:00:00"/>
    <s v="Component"/>
    <s v="Minor"/>
    <s v="Manual Testing"/>
    <n v="940.48"/>
  </r>
  <r>
    <n v="270"/>
    <x v="51"/>
    <s v="Functional"/>
    <d v="2024-05-04T00:00:00"/>
    <s v="Internal"/>
    <s v="Critical"/>
    <s v="Visual Inspection"/>
    <n v="42.63"/>
  </r>
  <r>
    <n v="271"/>
    <x v="90"/>
    <s v="Cosmetic"/>
    <s v="6/26/2024"/>
    <s v="Surface"/>
    <s v="Critical"/>
    <s v="Automated Testing"/>
    <n v="433.02"/>
  </r>
  <r>
    <n v="272"/>
    <x v="38"/>
    <s v="Structural"/>
    <d v="2024-09-04T00:00:00"/>
    <s v="Internal"/>
    <s v="Minor"/>
    <s v="Manual Testing"/>
    <n v="606.91"/>
  </r>
  <r>
    <n v="273"/>
    <x v="91"/>
    <s v="Structural"/>
    <s v="6/15/2024"/>
    <s v="Surface"/>
    <s v="Moderate"/>
    <s v="Automated Testing"/>
    <n v="129.41"/>
  </r>
  <r>
    <n v="274"/>
    <x v="64"/>
    <s v="Cosmetic"/>
    <d v="2024-05-02T00:00:00"/>
    <s v="Surface"/>
    <s v="Critical"/>
    <s v="Manual Testing"/>
    <n v="444.1"/>
  </r>
  <r>
    <n v="275"/>
    <x v="51"/>
    <s v="Functional"/>
    <s v="5/29/2024"/>
    <s v="Surface"/>
    <s v="Moderate"/>
    <s v="Manual Testing"/>
    <n v="634.26"/>
  </r>
  <r>
    <n v="276"/>
    <x v="92"/>
    <s v="Cosmetic"/>
    <s v="1/13/2024"/>
    <s v="Surface"/>
    <s v="Moderate"/>
    <s v="Manual Testing"/>
    <n v="672.89"/>
  </r>
  <r>
    <n v="277"/>
    <x v="58"/>
    <s v="Functional"/>
    <s v="5/22/2024"/>
    <s v="Internal"/>
    <s v="Minor"/>
    <s v="Visual Inspection"/>
    <n v="557.66999999999996"/>
  </r>
  <r>
    <n v="278"/>
    <x v="74"/>
    <s v="Functional"/>
    <s v="6/22/2024"/>
    <s v="Internal"/>
    <s v="Minor"/>
    <s v="Manual Testing"/>
    <n v="272.52999999999997"/>
  </r>
  <r>
    <n v="279"/>
    <x v="93"/>
    <s v="Structural"/>
    <s v="2/17/2024"/>
    <s v="Internal"/>
    <s v="Minor"/>
    <s v="Visual Inspection"/>
    <n v="503.24"/>
  </r>
  <r>
    <n v="280"/>
    <x v="60"/>
    <s v="Functional"/>
    <s v="4/23/2024"/>
    <s v="Surface"/>
    <s v="Critical"/>
    <s v="Visual Inspection"/>
    <n v="611.37"/>
  </r>
  <r>
    <n v="281"/>
    <x v="53"/>
    <s v="Cosmetic"/>
    <s v="1/24/2024"/>
    <s v="Surface"/>
    <s v="Minor"/>
    <s v="Visual Inspection"/>
    <n v="501.54"/>
  </r>
  <r>
    <n v="282"/>
    <x v="7"/>
    <s v="Structural"/>
    <s v="5/20/2024"/>
    <s v="Surface"/>
    <s v="Minor"/>
    <s v="Manual Testing"/>
    <n v="290.23"/>
  </r>
  <r>
    <n v="283"/>
    <x v="16"/>
    <s v="Cosmetic"/>
    <s v="1/30/2024"/>
    <s v="Internal"/>
    <s v="Moderate"/>
    <s v="Manual Testing"/>
    <n v="195.84"/>
  </r>
  <r>
    <n v="284"/>
    <x v="11"/>
    <s v="Structural"/>
    <d v="2024-09-04T00:00:00"/>
    <s v="Internal"/>
    <s v="Moderate"/>
    <s v="Visual Inspection"/>
    <n v="88.05"/>
  </r>
  <r>
    <n v="285"/>
    <x v="81"/>
    <s v="Structural"/>
    <s v="5/17/2024"/>
    <s v="Surface"/>
    <s v="Critical"/>
    <s v="Manual Testing"/>
    <n v="97.99"/>
  </r>
  <r>
    <n v="286"/>
    <x v="38"/>
    <s v="Structural"/>
    <s v="6/19/2024"/>
    <s v="Internal"/>
    <s v="Critical"/>
    <s v="Visual Inspection"/>
    <n v="349.24"/>
  </r>
  <r>
    <n v="287"/>
    <x v="4"/>
    <s v="Structural"/>
    <s v="1/31/2024"/>
    <s v="Internal"/>
    <s v="Critical"/>
    <s v="Manual Testing"/>
    <n v="421.51"/>
  </r>
  <r>
    <n v="288"/>
    <x v="28"/>
    <s v="Structural"/>
    <s v="5/26/2024"/>
    <s v="Internal"/>
    <s v="Critical"/>
    <s v="Manual Testing"/>
    <n v="422.77"/>
  </r>
  <r>
    <n v="289"/>
    <x v="69"/>
    <s v="Structural"/>
    <d v="2024-07-02T00:00:00"/>
    <s v="Internal"/>
    <s v="Minor"/>
    <s v="Automated Testing"/>
    <n v="925.03"/>
  </r>
  <r>
    <n v="290"/>
    <x v="52"/>
    <s v="Structural"/>
    <s v="2/27/2024"/>
    <s v="Internal"/>
    <s v="Minor"/>
    <s v="Automated Testing"/>
    <n v="319.58"/>
  </r>
  <r>
    <n v="291"/>
    <x v="19"/>
    <s v="Functional"/>
    <s v="4/22/2024"/>
    <s v="Surface"/>
    <s v="Moderate"/>
    <s v="Automated Testing"/>
    <n v="556.41999999999996"/>
  </r>
  <r>
    <n v="292"/>
    <x v="94"/>
    <s v="Structural"/>
    <d v="2024-04-02T00:00:00"/>
    <s v="Surface"/>
    <s v="Minor"/>
    <s v="Automated Testing"/>
    <n v="818.54"/>
  </r>
  <r>
    <n v="293"/>
    <x v="63"/>
    <s v="Structural"/>
    <d v="2024-02-01T00:00:00"/>
    <s v="Internal"/>
    <s v="Moderate"/>
    <s v="Automated Testing"/>
    <n v="320.62"/>
  </r>
  <r>
    <n v="294"/>
    <x v="67"/>
    <s v="Cosmetic"/>
    <s v="3/31/2024"/>
    <s v="Internal"/>
    <s v="Moderate"/>
    <s v="Manual Testing"/>
    <n v="178.82"/>
  </r>
  <r>
    <n v="295"/>
    <x v="64"/>
    <s v="Structural"/>
    <s v="2/29/2024"/>
    <s v="Surface"/>
    <s v="Critical"/>
    <s v="Manual Testing"/>
    <n v="237.65"/>
  </r>
  <r>
    <n v="296"/>
    <x v="57"/>
    <s v="Structural"/>
    <s v="3/14/2024"/>
    <s v="Component"/>
    <s v="Moderate"/>
    <s v="Manual Testing"/>
    <n v="658.16"/>
  </r>
  <r>
    <n v="297"/>
    <x v="45"/>
    <s v="Structural"/>
    <s v="1/23/2024"/>
    <s v="Surface"/>
    <s v="Minor"/>
    <s v="Visual Inspection"/>
    <n v="326.58"/>
  </r>
  <r>
    <n v="298"/>
    <x v="12"/>
    <s v="Cosmetic"/>
    <s v="2/14/2024"/>
    <s v="Surface"/>
    <s v="Minor"/>
    <s v="Manual Testing"/>
    <n v="301.61"/>
  </r>
  <r>
    <n v="299"/>
    <x v="58"/>
    <s v="Cosmetic"/>
    <s v="5/26/2024"/>
    <s v="Surface"/>
    <s v="Minor"/>
    <s v="Visual Inspection"/>
    <n v="357.56"/>
  </r>
  <r>
    <n v="300"/>
    <x v="25"/>
    <s v="Functional"/>
    <s v="4/26/2024"/>
    <s v="Internal"/>
    <s v="Critical"/>
    <s v="Manual Testing"/>
    <n v="358.21"/>
  </r>
  <r>
    <n v="301"/>
    <x v="48"/>
    <s v="Structural"/>
    <d v="2024-03-05T00:00:00"/>
    <s v="Surface"/>
    <s v="Moderate"/>
    <s v="Manual Testing"/>
    <n v="89.91"/>
  </r>
  <r>
    <n v="302"/>
    <x v="6"/>
    <s v="Cosmetic"/>
    <d v="2024-06-05T00:00:00"/>
    <s v="Internal"/>
    <s v="Minor"/>
    <s v="Automated Testing"/>
    <n v="18.420000000000002"/>
  </r>
  <r>
    <n v="303"/>
    <x v="67"/>
    <s v="Functional"/>
    <s v="4/25/2024"/>
    <s v="Component"/>
    <s v="Moderate"/>
    <s v="Visual Inspection"/>
    <n v="294.31"/>
  </r>
  <r>
    <n v="304"/>
    <x v="5"/>
    <s v="Functional"/>
    <s v="4/24/2024"/>
    <s v="Internal"/>
    <s v="Minor"/>
    <s v="Visual Inspection"/>
    <n v="865.96"/>
  </r>
  <r>
    <n v="305"/>
    <x v="52"/>
    <s v="Cosmetic"/>
    <d v="2024-12-06T00:00:00"/>
    <s v="Component"/>
    <s v="Minor"/>
    <s v="Visual Inspection"/>
    <n v="578.28"/>
  </r>
  <r>
    <n v="306"/>
    <x v="22"/>
    <s v="Structural"/>
    <s v="2/13/2024"/>
    <s v="Surface"/>
    <s v="Critical"/>
    <s v="Visual Inspection"/>
    <n v="495.87"/>
  </r>
  <r>
    <n v="307"/>
    <x v="8"/>
    <s v="Functional"/>
    <s v="6/19/2024"/>
    <s v="Component"/>
    <s v="Minor"/>
    <s v="Visual Inspection"/>
    <n v="728.39"/>
  </r>
  <r>
    <n v="308"/>
    <x v="87"/>
    <s v="Cosmetic"/>
    <d v="2024-08-01T00:00:00"/>
    <s v="Component"/>
    <s v="Minor"/>
    <s v="Manual Testing"/>
    <n v="949.72"/>
  </r>
  <r>
    <n v="309"/>
    <x v="34"/>
    <s v="Structural"/>
    <s v="3/23/2024"/>
    <s v="Component"/>
    <s v="Moderate"/>
    <s v="Manual Testing"/>
    <n v="56.12"/>
  </r>
  <r>
    <n v="310"/>
    <x v="79"/>
    <s v="Structural"/>
    <s v="5/26/2024"/>
    <s v="Component"/>
    <s v="Moderate"/>
    <s v="Automated Testing"/>
    <n v="56.35"/>
  </r>
  <r>
    <n v="311"/>
    <x v="83"/>
    <s v="Structural"/>
    <d v="2024-08-04T00:00:00"/>
    <s v="Internal"/>
    <s v="Minor"/>
    <s v="Manual Testing"/>
    <n v="651.35"/>
  </r>
  <r>
    <n v="312"/>
    <x v="87"/>
    <s v="Cosmetic"/>
    <s v="2/23/2024"/>
    <s v="Component"/>
    <s v="Minor"/>
    <s v="Manual Testing"/>
    <n v="471.27"/>
  </r>
  <r>
    <n v="313"/>
    <x v="81"/>
    <s v="Cosmetic"/>
    <s v="5/29/2024"/>
    <s v="Surface"/>
    <s v="Moderate"/>
    <s v="Visual Inspection"/>
    <n v="732.6"/>
  </r>
  <r>
    <n v="314"/>
    <x v="36"/>
    <s v="Cosmetic"/>
    <s v="2/19/2024"/>
    <s v="Component"/>
    <s v="Minor"/>
    <s v="Automated Testing"/>
    <n v="865.3"/>
  </r>
  <r>
    <n v="315"/>
    <x v="95"/>
    <s v="Functional"/>
    <s v="1/15/2024"/>
    <s v="Internal"/>
    <s v="Minor"/>
    <s v="Automated Testing"/>
    <n v="49.2"/>
  </r>
  <r>
    <n v="316"/>
    <x v="17"/>
    <s v="Cosmetic"/>
    <d v="2024-09-06T00:00:00"/>
    <s v="Surface"/>
    <s v="Critical"/>
    <s v="Manual Testing"/>
    <n v="567.72"/>
  </r>
  <r>
    <n v="317"/>
    <x v="49"/>
    <s v="Cosmetic"/>
    <d v="2024-09-01T00:00:00"/>
    <s v="Surface"/>
    <s v="Moderate"/>
    <s v="Visual Inspection"/>
    <n v="490.53"/>
  </r>
  <r>
    <n v="318"/>
    <x v="74"/>
    <s v="Functional"/>
    <d v="2024-03-03T00:00:00"/>
    <s v="Component"/>
    <s v="Minor"/>
    <s v="Manual Testing"/>
    <n v="11.38"/>
  </r>
  <r>
    <n v="319"/>
    <x v="58"/>
    <s v="Functional"/>
    <s v="2/23/2024"/>
    <s v="Component"/>
    <s v="Moderate"/>
    <s v="Visual Inspection"/>
    <n v="409.72"/>
  </r>
  <r>
    <n v="320"/>
    <x v="10"/>
    <s v="Functional"/>
    <d v="2024-05-01T00:00:00"/>
    <s v="Component"/>
    <s v="Minor"/>
    <s v="Visual Inspection"/>
    <n v="515.07000000000005"/>
  </r>
  <r>
    <n v="321"/>
    <x v="96"/>
    <s v="Structural"/>
    <d v="2024-06-06T00:00:00"/>
    <s v="Component"/>
    <s v="Moderate"/>
    <s v="Visual Inspection"/>
    <n v="42.44"/>
  </r>
  <r>
    <n v="322"/>
    <x v="88"/>
    <s v="Functional"/>
    <s v="5/30/2024"/>
    <s v="Internal"/>
    <s v="Critical"/>
    <s v="Automated Testing"/>
    <n v="883.58"/>
  </r>
  <r>
    <n v="323"/>
    <x v="63"/>
    <s v="Structural"/>
    <d v="2024-08-06T00:00:00"/>
    <s v="Internal"/>
    <s v="Minor"/>
    <s v="Automated Testing"/>
    <n v="624.98"/>
  </r>
  <r>
    <n v="324"/>
    <x v="62"/>
    <s v="Functional"/>
    <d v="2024-06-04T00:00:00"/>
    <s v="Component"/>
    <s v="Minor"/>
    <s v="Manual Testing"/>
    <n v="195.74"/>
  </r>
  <r>
    <n v="325"/>
    <x v="0"/>
    <s v="Functional"/>
    <s v="4/15/2024"/>
    <s v="Internal"/>
    <s v="Moderate"/>
    <s v="Manual Testing"/>
    <n v="241.22"/>
  </r>
  <r>
    <n v="326"/>
    <x v="62"/>
    <s v="Cosmetic"/>
    <s v="4/29/2024"/>
    <s v="Component"/>
    <s v="Minor"/>
    <s v="Manual Testing"/>
    <n v="441.18"/>
  </r>
  <r>
    <n v="327"/>
    <x v="5"/>
    <s v="Structural"/>
    <d v="2024-01-04T00:00:00"/>
    <s v="Component"/>
    <s v="Critical"/>
    <s v="Manual Testing"/>
    <n v="274.08999999999997"/>
  </r>
  <r>
    <n v="328"/>
    <x v="73"/>
    <s v="Functional"/>
    <d v="2024-08-06T00:00:00"/>
    <s v="Surface"/>
    <s v="Moderate"/>
    <s v="Visual Inspection"/>
    <n v="268.52"/>
  </r>
  <r>
    <n v="329"/>
    <x v="32"/>
    <s v="Structural"/>
    <d v="2024-02-01T00:00:00"/>
    <s v="Component"/>
    <s v="Critical"/>
    <s v="Automated Testing"/>
    <n v="170.44"/>
  </r>
  <r>
    <n v="330"/>
    <x v="13"/>
    <s v="Functional"/>
    <d v="2024-01-03T00:00:00"/>
    <s v="Component"/>
    <s v="Moderate"/>
    <s v="Automated Testing"/>
    <n v="386.43"/>
  </r>
  <r>
    <n v="331"/>
    <x v="14"/>
    <s v="Functional"/>
    <d v="2024-01-03T00:00:00"/>
    <s v="Surface"/>
    <s v="Minor"/>
    <s v="Manual Testing"/>
    <n v="970.98"/>
  </r>
  <r>
    <n v="332"/>
    <x v="40"/>
    <s v="Functional"/>
    <s v="5/16/2024"/>
    <s v="Component"/>
    <s v="Minor"/>
    <s v="Automated Testing"/>
    <n v="751.73"/>
  </r>
  <r>
    <n v="333"/>
    <x v="34"/>
    <s v="Functional"/>
    <s v="4/22/2024"/>
    <s v="Component"/>
    <s v="Minor"/>
    <s v="Automated Testing"/>
    <n v="285.85000000000002"/>
  </r>
  <r>
    <n v="334"/>
    <x v="3"/>
    <s v="Structural"/>
    <s v="3/15/2024"/>
    <s v="Internal"/>
    <s v="Critical"/>
    <s v="Manual Testing"/>
    <n v="478.75"/>
  </r>
  <r>
    <n v="335"/>
    <x v="97"/>
    <s v="Cosmetic"/>
    <s v="2/29/2024"/>
    <s v="Surface"/>
    <s v="Minor"/>
    <s v="Automated Testing"/>
    <n v="884.79"/>
  </r>
  <r>
    <n v="336"/>
    <x v="32"/>
    <s v="Cosmetic"/>
    <s v="4/13/2024"/>
    <s v="Surface"/>
    <s v="Moderate"/>
    <s v="Automated Testing"/>
    <n v="44.73"/>
  </r>
  <r>
    <n v="337"/>
    <x v="29"/>
    <s v="Cosmetic"/>
    <s v="5/24/2024"/>
    <s v="Component"/>
    <s v="Minor"/>
    <s v="Automated Testing"/>
    <n v="952.79"/>
  </r>
  <r>
    <n v="338"/>
    <x v="49"/>
    <s v="Cosmetic"/>
    <d v="2024-03-01T00:00:00"/>
    <s v="Component"/>
    <s v="Moderate"/>
    <s v="Manual Testing"/>
    <n v="959.59"/>
  </r>
  <r>
    <n v="339"/>
    <x v="70"/>
    <s v="Structural"/>
    <s v="2/15/2024"/>
    <s v="Component"/>
    <s v="Moderate"/>
    <s v="Visual Inspection"/>
    <n v="312.25"/>
  </r>
  <r>
    <n v="340"/>
    <x v="77"/>
    <s v="Cosmetic"/>
    <s v="6/23/2024"/>
    <s v="Component"/>
    <s v="Minor"/>
    <s v="Visual Inspection"/>
    <n v="658.47"/>
  </r>
  <r>
    <n v="341"/>
    <x v="5"/>
    <s v="Functional"/>
    <d v="2024-03-05T00:00:00"/>
    <s v="Surface"/>
    <s v="Minor"/>
    <s v="Manual Testing"/>
    <n v="243.25"/>
  </r>
  <r>
    <n v="342"/>
    <x v="75"/>
    <s v="Cosmetic"/>
    <s v="5/24/2024"/>
    <s v="Internal"/>
    <s v="Moderate"/>
    <s v="Automated Testing"/>
    <n v="199.65"/>
  </r>
  <r>
    <n v="343"/>
    <x v="71"/>
    <s v="Functional"/>
    <s v="1/30/2024"/>
    <s v="Component"/>
    <s v="Minor"/>
    <s v="Visual Inspection"/>
    <n v="471.43"/>
  </r>
  <r>
    <n v="344"/>
    <x v="18"/>
    <s v="Functional"/>
    <d v="2024-06-02T00:00:00"/>
    <s v="Component"/>
    <s v="Moderate"/>
    <s v="Visual Inspection"/>
    <n v="756.85"/>
  </r>
  <r>
    <n v="345"/>
    <x v="69"/>
    <s v="Structural"/>
    <s v="5/31/2024"/>
    <s v="Internal"/>
    <s v="Critical"/>
    <s v="Visual Inspection"/>
    <n v="369.06"/>
  </r>
  <r>
    <n v="346"/>
    <x v="62"/>
    <s v="Cosmetic"/>
    <s v="6/14/2024"/>
    <s v="Surface"/>
    <s v="Minor"/>
    <s v="Manual Testing"/>
    <n v="326.19"/>
  </r>
  <r>
    <n v="347"/>
    <x v="7"/>
    <s v="Functional"/>
    <s v="5/19/2024"/>
    <s v="Component"/>
    <s v="Minor"/>
    <s v="Visual Inspection"/>
    <n v="22.07"/>
  </r>
  <r>
    <n v="348"/>
    <x v="42"/>
    <s v="Cosmetic"/>
    <s v="4/18/2024"/>
    <s v="Component"/>
    <s v="Critical"/>
    <s v="Visual Inspection"/>
    <n v="825.33"/>
  </r>
  <r>
    <n v="349"/>
    <x v="10"/>
    <s v="Cosmetic"/>
    <s v="1/20/2024"/>
    <s v="Surface"/>
    <s v="Minor"/>
    <s v="Automated Testing"/>
    <n v="697.77"/>
  </r>
  <r>
    <n v="350"/>
    <x v="20"/>
    <s v="Structural"/>
    <s v="5/18/2024"/>
    <s v="Component"/>
    <s v="Moderate"/>
    <s v="Visual Inspection"/>
    <n v="417.1"/>
  </r>
  <r>
    <n v="351"/>
    <x v="63"/>
    <s v="Cosmetic"/>
    <d v="2024-07-06T00:00:00"/>
    <s v="Surface"/>
    <s v="Minor"/>
    <s v="Visual Inspection"/>
    <n v="74.81"/>
  </r>
  <r>
    <n v="352"/>
    <x v="8"/>
    <s v="Functional"/>
    <s v="2/24/2024"/>
    <s v="Surface"/>
    <s v="Minor"/>
    <s v="Visual Inspection"/>
    <n v="104.54"/>
  </r>
  <r>
    <n v="353"/>
    <x v="42"/>
    <s v="Functional"/>
    <s v="6/14/2024"/>
    <s v="Component"/>
    <s v="Critical"/>
    <s v="Manual Testing"/>
    <n v="480.07"/>
  </r>
  <r>
    <n v="354"/>
    <x v="97"/>
    <s v="Structural"/>
    <s v="3/13/2024"/>
    <s v="Surface"/>
    <s v="Minor"/>
    <s v="Manual Testing"/>
    <n v="842.37"/>
  </r>
  <r>
    <n v="355"/>
    <x v="78"/>
    <s v="Cosmetic"/>
    <d v="2024-12-03T00:00:00"/>
    <s v="Internal"/>
    <s v="Critical"/>
    <s v="Manual Testing"/>
    <n v="422.03"/>
  </r>
  <r>
    <n v="356"/>
    <x v="39"/>
    <s v="Functional"/>
    <d v="2024-03-02T00:00:00"/>
    <s v="Internal"/>
    <s v="Critical"/>
    <s v="Visual Inspection"/>
    <n v="161.41"/>
  </r>
  <r>
    <n v="357"/>
    <x v="98"/>
    <s v="Cosmetic"/>
    <d v="2024-08-02T00:00:00"/>
    <s v="Component"/>
    <s v="Critical"/>
    <s v="Visual Inspection"/>
    <n v="361.26"/>
  </r>
  <r>
    <n v="358"/>
    <x v="51"/>
    <s v="Cosmetic"/>
    <s v="5/17/2024"/>
    <s v="Surface"/>
    <s v="Critical"/>
    <s v="Automated Testing"/>
    <n v="999.25"/>
  </r>
  <r>
    <n v="359"/>
    <x v="60"/>
    <s v="Functional"/>
    <s v="2/17/2024"/>
    <s v="Internal"/>
    <s v="Critical"/>
    <s v="Automated Testing"/>
    <n v="495.53"/>
  </r>
  <r>
    <n v="360"/>
    <x v="81"/>
    <s v="Functional"/>
    <d v="2024-02-06T00:00:00"/>
    <s v="Internal"/>
    <s v="Moderate"/>
    <s v="Visual Inspection"/>
    <n v="40.89"/>
  </r>
  <r>
    <n v="361"/>
    <x v="93"/>
    <s v="Functional"/>
    <d v="2024-07-06T00:00:00"/>
    <s v="Component"/>
    <s v="Moderate"/>
    <s v="Manual Testing"/>
    <n v="444.31"/>
  </r>
  <r>
    <n v="362"/>
    <x v="10"/>
    <s v="Structural"/>
    <s v="6/20/2024"/>
    <s v="Surface"/>
    <s v="Minor"/>
    <s v="Manual Testing"/>
    <n v="739.69"/>
  </r>
  <r>
    <n v="363"/>
    <x v="31"/>
    <s v="Structural"/>
    <s v="6/20/2024"/>
    <s v="Internal"/>
    <s v="Minor"/>
    <s v="Visual Inspection"/>
    <n v="577.64"/>
  </r>
  <r>
    <n v="364"/>
    <x v="88"/>
    <s v="Functional"/>
    <s v="3/21/2024"/>
    <s v="Component"/>
    <s v="Minor"/>
    <s v="Visual Inspection"/>
    <n v="230.65"/>
  </r>
  <r>
    <n v="365"/>
    <x v="95"/>
    <s v="Structural"/>
    <d v="2024-10-04T00:00:00"/>
    <s v="Component"/>
    <s v="Minor"/>
    <s v="Manual Testing"/>
    <n v="692.1"/>
  </r>
  <r>
    <n v="366"/>
    <x v="77"/>
    <s v="Functional"/>
    <d v="2024-04-04T00:00:00"/>
    <s v="Internal"/>
    <s v="Critical"/>
    <s v="Visual Inspection"/>
    <n v="378.29"/>
  </r>
  <r>
    <n v="367"/>
    <x v="76"/>
    <s v="Functional"/>
    <s v="1/23/2024"/>
    <s v="Internal"/>
    <s v="Moderate"/>
    <s v="Visual Inspection"/>
    <n v="584.9"/>
  </r>
  <r>
    <n v="368"/>
    <x v="52"/>
    <s v="Functional"/>
    <d v="2024-01-03T00:00:00"/>
    <s v="Internal"/>
    <s v="Moderate"/>
    <s v="Visual Inspection"/>
    <n v="39.01"/>
  </r>
  <r>
    <n v="369"/>
    <x v="87"/>
    <s v="Functional"/>
    <s v="1/26/2024"/>
    <s v="Internal"/>
    <s v="Critical"/>
    <s v="Visual Inspection"/>
    <n v="899.07"/>
  </r>
  <r>
    <n v="370"/>
    <x v="57"/>
    <s v="Structural"/>
    <s v="1/27/2024"/>
    <s v="Internal"/>
    <s v="Minor"/>
    <s v="Visual Inspection"/>
    <n v="96.04"/>
  </r>
  <r>
    <n v="371"/>
    <x v="14"/>
    <s v="Structural"/>
    <d v="2024-02-01T00:00:00"/>
    <s v="Internal"/>
    <s v="Moderate"/>
    <s v="Visual Inspection"/>
    <n v="269.99"/>
  </r>
  <r>
    <n v="372"/>
    <x v="79"/>
    <s v="Cosmetic"/>
    <s v="5/14/2024"/>
    <s v="Surface"/>
    <s v="Minor"/>
    <s v="Visual Inspection"/>
    <n v="996.49"/>
  </r>
  <r>
    <n v="373"/>
    <x v="32"/>
    <s v="Functional"/>
    <d v="2024-11-01T00:00:00"/>
    <s v="Surface"/>
    <s v="Moderate"/>
    <s v="Manual Testing"/>
    <n v="573.22"/>
  </r>
  <r>
    <n v="374"/>
    <x v="44"/>
    <s v="Structural"/>
    <s v="6/13/2024"/>
    <s v="Internal"/>
    <s v="Moderate"/>
    <s v="Visual Inspection"/>
    <n v="694.03"/>
  </r>
  <r>
    <n v="375"/>
    <x v="28"/>
    <s v="Functional"/>
    <d v="2024-10-05T00:00:00"/>
    <s v="Internal"/>
    <s v="Minor"/>
    <s v="Visual Inspection"/>
    <n v="963.03"/>
  </r>
  <r>
    <n v="376"/>
    <x v="88"/>
    <s v="Functional"/>
    <d v="2024-10-01T00:00:00"/>
    <s v="Component"/>
    <s v="Moderate"/>
    <s v="Manual Testing"/>
    <n v="118.46"/>
  </r>
  <r>
    <n v="377"/>
    <x v="62"/>
    <s v="Structural"/>
    <s v="1/16/2024"/>
    <s v="Component"/>
    <s v="Moderate"/>
    <s v="Automated Testing"/>
    <n v="773.47"/>
  </r>
  <r>
    <n v="378"/>
    <x v="70"/>
    <s v="Structural"/>
    <d v="2024-12-06T00:00:00"/>
    <s v="Surface"/>
    <s v="Minor"/>
    <s v="Visual Inspection"/>
    <n v="180.86"/>
  </r>
  <r>
    <n v="379"/>
    <x v="74"/>
    <s v="Cosmetic"/>
    <d v="2024-05-04T00:00:00"/>
    <s v="Surface"/>
    <s v="Minor"/>
    <s v="Manual Testing"/>
    <n v="18.61"/>
  </r>
  <r>
    <n v="380"/>
    <x v="26"/>
    <s v="Cosmetic"/>
    <d v="2024-10-04T00:00:00"/>
    <s v="Component"/>
    <s v="Critical"/>
    <s v="Manual Testing"/>
    <n v="176.96"/>
  </r>
  <r>
    <n v="381"/>
    <x v="60"/>
    <s v="Cosmetic"/>
    <d v="2024-07-01T00:00:00"/>
    <s v="Surface"/>
    <s v="Moderate"/>
    <s v="Visual Inspection"/>
    <n v="32.44"/>
  </r>
  <r>
    <n v="382"/>
    <x v="14"/>
    <s v="Cosmetic"/>
    <d v="2024-12-02T00:00:00"/>
    <s v="Component"/>
    <s v="Minor"/>
    <s v="Manual Testing"/>
    <n v="351.27"/>
  </r>
  <r>
    <n v="383"/>
    <x v="30"/>
    <s v="Functional"/>
    <d v="2024-05-01T00:00:00"/>
    <s v="Component"/>
    <s v="Critical"/>
    <s v="Visual Inspection"/>
    <n v="303.16000000000003"/>
  </r>
  <r>
    <n v="384"/>
    <x v="56"/>
    <s v="Cosmetic"/>
    <d v="2024-05-05T00:00:00"/>
    <s v="Internal"/>
    <s v="Critical"/>
    <s v="Automated Testing"/>
    <n v="404.15"/>
  </r>
  <r>
    <n v="385"/>
    <x v="64"/>
    <s v="Structural"/>
    <d v="2024-10-01T00:00:00"/>
    <s v="Internal"/>
    <s v="Moderate"/>
    <s v="Automated Testing"/>
    <n v="800.76"/>
  </r>
  <r>
    <n v="386"/>
    <x v="23"/>
    <s v="Structural"/>
    <s v="1/29/2024"/>
    <s v="Surface"/>
    <s v="Moderate"/>
    <s v="Visual Inspection"/>
    <n v="321.45"/>
  </r>
  <r>
    <n v="387"/>
    <x v="2"/>
    <s v="Functional"/>
    <s v="2/14/2024"/>
    <s v="Surface"/>
    <s v="Critical"/>
    <s v="Manual Testing"/>
    <n v="510.38"/>
  </r>
  <r>
    <n v="388"/>
    <x v="96"/>
    <s v="Structural"/>
    <s v="2/17/2024"/>
    <s v="Internal"/>
    <s v="Minor"/>
    <s v="Automated Testing"/>
    <n v="883.92"/>
  </r>
  <r>
    <n v="389"/>
    <x v="33"/>
    <s v="Structural"/>
    <s v="4/16/2024"/>
    <s v="Internal"/>
    <s v="Minor"/>
    <s v="Automated Testing"/>
    <n v="918.87"/>
  </r>
  <r>
    <n v="390"/>
    <x v="61"/>
    <s v="Structural"/>
    <s v="5/19/2024"/>
    <s v="Surface"/>
    <s v="Critical"/>
    <s v="Automated Testing"/>
    <n v="564.46"/>
  </r>
  <r>
    <n v="391"/>
    <x v="40"/>
    <s v="Functional"/>
    <d v="2024-03-06T00:00:00"/>
    <s v="Internal"/>
    <s v="Minor"/>
    <s v="Visual Inspection"/>
    <n v="889.4"/>
  </r>
  <r>
    <n v="392"/>
    <x v="18"/>
    <s v="Functional"/>
    <s v="2/25/2024"/>
    <s v="Component"/>
    <s v="Critical"/>
    <s v="Automated Testing"/>
    <n v="197.87"/>
  </r>
  <r>
    <n v="393"/>
    <x v="34"/>
    <s v="Cosmetic"/>
    <d v="2024-09-06T00:00:00"/>
    <s v="Surface"/>
    <s v="Critical"/>
    <s v="Visual Inspection"/>
    <n v="786.6"/>
  </r>
  <r>
    <n v="394"/>
    <x v="90"/>
    <s v="Functional"/>
    <d v="2024-04-05T00:00:00"/>
    <s v="Internal"/>
    <s v="Moderate"/>
    <s v="Manual Testing"/>
    <n v="740.36"/>
  </r>
  <r>
    <n v="395"/>
    <x v="18"/>
    <s v="Functional"/>
    <d v="2024-05-03T00:00:00"/>
    <s v="Surface"/>
    <s v="Critical"/>
    <s v="Automated Testing"/>
    <n v="667.24"/>
  </r>
  <r>
    <n v="396"/>
    <x v="2"/>
    <s v="Cosmetic"/>
    <d v="2024-09-01T00:00:00"/>
    <s v="Surface"/>
    <s v="Critical"/>
    <s v="Visual Inspection"/>
    <n v="77.72"/>
  </r>
  <r>
    <n v="397"/>
    <x v="37"/>
    <s v="Functional"/>
    <s v="4/16/2024"/>
    <s v="Surface"/>
    <s v="Moderate"/>
    <s v="Visual Inspection"/>
    <n v="106.59"/>
  </r>
  <r>
    <n v="398"/>
    <x v="25"/>
    <s v="Structural"/>
    <s v="2/20/2024"/>
    <s v="Surface"/>
    <s v="Minor"/>
    <s v="Manual Testing"/>
    <n v="529.16"/>
  </r>
  <r>
    <n v="399"/>
    <x v="98"/>
    <s v="Functional"/>
    <d v="2024-07-04T00:00:00"/>
    <s v="Surface"/>
    <s v="Critical"/>
    <s v="Manual Testing"/>
    <n v="94.34"/>
  </r>
  <r>
    <n v="400"/>
    <x v="63"/>
    <s v="Cosmetic"/>
    <d v="2024-12-04T00:00:00"/>
    <s v="Component"/>
    <s v="Moderate"/>
    <s v="Manual Testing"/>
    <n v="97.53"/>
  </r>
  <r>
    <n v="401"/>
    <x v="74"/>
    <s v="Functional"/>
    <s v="4/19/2024"/>
    <s v="Internal"/>
    <s v="Critical"/>
    <s v="Automated Testing"/>
    <n v="500.88"/>
  </r>
  <r>
    <n v="402"/>
    <x v="70"/>
    <s v="Functional"/>
    <s v="2/23/2024"/>
    <s v="Internal"/>
    <s v="Minor"/>
    <s v="Manual Testing"/>
    <n v="477.42"/>
  </r>
  <r>
    <n v="403"/>
    <x v="1"/>
    <s v="Cosmetic"/>
    <d v="2024-09-05T00:00:00"/>
    <s v="Surface"/>
    <s v="Minor"/>
    <s v="Manual Testing"/>
    <n v="810.57"/>
  </r>
  <r>
    <n v="404"/>
    <x v="87"/>
    <s v="Structural"/>
    <d v="2024-01-05T00:00:00"/>
    <s v="Surface"/>
    <s v="Minor"/>
    <s v="Automated Testing"/>
    <n v="945.16"/>
  </r>
  <r>
    <n v="405"/>
    <x v="75"/>
    <s v="Functional"/>
    <s v="3/24/2024"/>
    <s v="Internal"/>
    <s v="Minor"/>
    <s v="Visual Inspection"/>
    <n v="325.31"/>
  </r>
  <r>
    <n v="406"/>
    <x v="22"/>
    <s v="Functional"/>
    <d v="2024-11-04T00:00:00"/>
    <s v="Component"/>
    <s v="Moderate"/>
    <s v="Visual Inspection"/>
    <n v="810.44"/>
  </r>
  <r>
    <n v="407"/>
    <x v="3"/>
    <s v="Functional"/>
    <s v="5/30/2024"/>
    <s v="Internal"/>
    <s v="Critical"/>
    <s v="Visual Inspection"/>
    <n v="623.76"/>
  </r>
  <r>
    <n v="408"/>
    <x v="10"/>
    <s v="Structural"/>
    <s v="6/24/2024"/>
    <s v="Internal"/>
    <s v="Minor"/>
    <s v="Visual Inspection"/>
    <n v="375.28"/>
  </r>
  <r>
    <n v="409"/>
    <x v="92"/>
    <s v="Functional"/>
    <d v="2024-05-03T00:00:00"/>
    <s v="Surface"/>
    <s v="Minor"/>
    <s v="Automated Testing"/>
    <n v="474.48"/>
  </r>
  <r>
    <n v="410"/>
    <x v="44"/>
    <s v="Cosmetic"/>
    <s v="3/13/2024"/>
    <s v="Surface"/>
    <s v="Moderate"/>
    <s v="Visual Inspection"/>
    <n v="636.39"/>
  </r>
  <r>
    <n v="411"/>
    <x v="11"/>
    <s v="Functional"/>
    <s v="2/28/2024"/>
    <s v="Component"/>
    <s v="Minor"/>
    <s v="Visual Inspection"/>
    <n v="957.36"/>
  </r>
  <r>
    <n v="412"/>
    <x v="62"/>
    <s v="Functional"/>
    <d v="2024-02-02T00:00:00"/>
    <s v="Internal"/>
    <s v="Minor"/>
    <s v="Automated Testing"/>
    <n v="66.98"/>
  </r>
  <r>
    <n v="413"/>
    <x v="9"/>
    <s v="Structural"/>
    <d v="2024-05-04T00:00:00"/>
    <s v="Internal"/>
    <s v="Minor"/>
    <s v="Visual Inspection"/>
    <n v="608.64"/>
  </r>
  <r>
    <n v="414"/>
    <x v="36"/>
    <s v="Structural"/>
    <d v="2024-04-02T00:00:00"/>
    <s v="Component"/>
    <s v="Moderate"/>
    <s v="Automated Testing"/>
    <n v="75.930000000000007"/>
  </r>
  <r>
    <n v="415"/>
    <x v="40"/>
    <s v="Structural"/>
    <d v="2024-12-06T00:00:00"/>
    <s v="Component"/>
    <s v="Critical"/>
    <s v="Automated Testing"/>
    <n v="477.58"/>
  </r>
  <r>
    <n v="416"/>
    <x v="15"/>
    <s v="Cosmetic"/>
    <s v="5/17/2024"/>
    <s v="Component"/>
    <s v="Moderate"/>
    <s v="Automated Testing"/>
    <n v="252.11"/>
  </r>
  <r>
    <n v="417"/>
    <x v="90"/>
    <s v="Cosmetic"/>
    <s v="4/16/2024"/>
    <s v="Component"/>
    <s v="Critical"/>
    <s v="Visual Inspection"/>
    <n v="987.71"/>
  </r>
  <r>
    <n v="418"/>
    <x v="18"/>
    <s v="Functional"/>
    <s v="3/23/2024"/>
    <s v="Internal"/>
    <s v="Moderate"/>
    <s v="Manual Testing"/>
    <n v="464.04"/>
  </r>
  <r>
    <n v="419"/>
    <x v="69"/>
    <s v="Functional"/>
    <s v="2/13/2024"/>
    <s v="Component"/>
    <s v="Minor"/>
    <s v="Visual Inspection"/>
    <n v="694.29"/>
  </r>
  <r>
    <n v="420"/>
    <x v="58"/>
    <s v="Structural"/>
    <s v="4/20/2024"/>
    <s v="Surface"/>
    <s v="Critical"/>
    <s v="Automated Testing"/>
    <n v="829.49"/>
  </r>
  <r>
    <n v="421"/>
    <x v="37"/>
    <s v="Functional"/>
    <d v="2024-09-01T00:00:00"/>
    <s v="Internal"/>
    <s v="Minor"/>
    <s v="Visual Inspection"/>
    <n v="466.04"/>
  </r>
  <r>
    <n v="422"/>
    <x v="31"/>
    <s v="Functional"/>
    <d v="2024-11-04T00:00:00"/>
    <s v="Internal"/>
    <s v="Moderate"/>
    <s v="Manual Testing"/>
    <n v="101.05"/>
  </r>
  <r>
    <n v="423"/>
    <x v="65"/>
    <s v="Cosmetic"/>
    <d v="2024-04-01T00:00:00"/>
    <s v="Internal"/>
    <s v="Critical"/>
    <s v="Automated Testing"/>
    <n v="748.29"/>
  </r>
  <r>
    <n v="424"/>
    <x v="60"/>
    <s v="Structural"/>
    <s v="3/27/2024"/>
    <s v="Component"/>
    <s v="Moderate"/>
    <s v="Visual Inspection"/>
    <n v="438.54"/>
  </r>
  <r>
    <n v="425"/>
    <x v="86"/>
    <s v="Functional"/>
    <s v="2/25/2024"/>
    <s v="Component"/>
    <s v="Moderate"/>
    <s v="Visual Inspection"/>
    <n v="834.57"/>
  </r>
  <r>
    <n v="426"/>
    <x v="41"/>
    <s v="Functional"/>
    <s v="5/23/2024"/>
    <s v="Internal"/>
    <s v="Critical"/>
    <s v="Manual Testing"/>
    <n v="655.02"/>
  </r>
  <r>
    <n v="427"/>
    <x v="3"/>
    <s v="Structural"/>
    <s v="3/22/2024"/>
    <s v="Surface"/>
    <s v="Critical"/>
    <s v="Manual Testing"/>
    <n v="342.61"/>
  </r>
  <r>
    <n v="428"/>
    <x v="69"/>
    <s v="Structural"/>
    <s v="3/26/2024"/>
    <s v="Internal"/>
    <s v="Critical"/>
    <s v="Visual Inspection"/>
    <n v="539.5"/>
  </r>
  <r>
    <n v="429"/>
    <x v="0"/>
    <s v="Functional"/>
    <s v="6/19/2024"/>
    <s v="Component"/>
    <s v="Moderate"/>
    <s v="Visual Inspection"/>
    <n v="487.41"/>
  </r>
  <r>
    <n v="430"/>
    <x v="13"/>
    <s v="Structural"/>
    <s v="6/27/2024"/>
    <s v="Surface"/>
    <s v="Minor"/>
    <s v="Automated Testing"/>
    <n v="212.86"/>
  </r>
  <r>
    <n v="431"/>
    <x v="72"/>
    <s v="Functional"/>
    <s v="5/13/2024"/>
    <s v="Surface"/>
    <s v="Critical"/>
    <s v="Visual Inspection"/>
    <n v="873.59"/>
  </r>
  <r>
    <n v="432"/>
    <x v="58"/>
    <s v="Cosmetic"/>
    <s v="2/25/2024"/>
    <s v="Surface"/>
    <s v="Moderate"/>
    <s v="Automated Testing"/>
    <n v="389.21"/>
  </r>
  <r>
    <n v="433"/>
    <x v="78"/>
    <s v="Cosmetic"/>
    <d v="2024-03-05T00:00:00"/>
    <s v="Component"/>
    <s v="Minor"/>
    <s v="Automated Testing"/>
    <n v="34.479999999999997"/>
  </r>
  <r>
    <n v="434"/>
    <x v="24"/>
    <s v="Functional"/>
    <d v="2024-12-05T00:00:00"/>
    <s v="Surface"/>
    <s v="Minor"/>
    <s v="Manual Testing"/>
    <n v="235.97"/>
  </r>
  <r>
    <n v="435"/>
    <x v="70"/>
    <s v="Structural"/>
    <d v="2024-08-04T00:00:00"/>
    <s v="Surface"/>
    <s v="Moderate"/>
    <s v="Visual Inspection"/>
    <n v="575.15"/>
  </r>
  <r>
    <n v="436"/>
    <x v="63"/>
    <s v="Structural"/>
    <s v="6/18/2024"/>
    <s v="Surface"/>
    <s v="Minor"/>
    <s v="Visual Inspection"/>
    <n v="182.54"/>
  </r>
  <r>
    <n v="437"/>
    <x v="81"/>
    <s v="Cosmetic"/>
    <d v="2024-06-05T00:00:00"/>
    <s v="Component"/>
    <s v="Minor"/>
    <s v="Automated Testing"/>
    <n v="752.8"/>
  </r>
  <r>
    <n v="438"/>
    <x v="22"/>
    <s v="Functional"/>
    <d v="2024-12-01T00:00:00"/>
    <s v="Component"/>
    <s v="Critical"/>
    <s v="Visual Inspection"/>
    <n v="214.33"/>
  </r>
  <r>
    <n v="439"/>
    <x v="16"/>
    <s v="Functional"/>
    <s v="3/13/2024"/>
    <s v="Surface"/>
    <s v="Moderate"/>
    <s v="Visual Inspection"/>
    <n v="716.26"/>
  </r>
  <r>
    <n v="440"/>
    <x v="80"/>
    <s v="Structural"/>
    <d v="2024-03-03T00:00:00"/>
    <s v="Surface"/>
    <s v="Critical"/>
    <s v="Visual Inspection"/>
    <n v="608.46"/>
  </r>
  <r>
    <n v="441"/>
    <x v="32"/>
    <s v="Structural"/>
    <s v="6/18/2024"/>
    <s v="Internal"/>
    <s v="Moderate"/>
    <s v="Automated Testing"/>
    <n v="255.47"/>
  </r>
  <r>
    <n v="442"/>
    <x v="32"/>
    <s v="Structural"/>
    <d v="2024-06-02T00:00:00"/>
    <s v="Component"/>
    <s v="Minor"/>
    <s v="Manual Testing"/>
    <n v="914.32"/>
  </r>
  <r>
    <n v="443"/>
    <x v="94"/>
    <s v="Cosmetic"/>
    <s v="6/25/2024"/>
    <s v="Internal"/>
    <s v="Critical"/>
    <s v="Automated Testing"/>
    <n v="519.15"/>
  </r>
  <r>
    <n v="444"/>
    <x v="16"/>
    <s v="Functional"/>
    <d v="2024-08-02T00:00:00"/>
    <s v="Internal"/>
    <s v="Moderate"/>
    <s v="Manual Testing"/>
    <n v="816.09"/>
  </r>
  <r>
    <n v="445"/>
    <x v="38"/>
    <s v="Functional"/>
    <s v="3/23/2024"/>
    <s v="Component"/>
    <s v="Minor"/>
    <s v="Manual Testing"/>
    <n v="481.11"/>
  </r>
  <r>
    <n v="446"/>
    <x v="23"/>
    <s v="Cosmetic"/>
    <s v="1/20/2024"/>
    <s v="Component"/>
    <s v="Moderate"/>
    <s v="Automated Testing"/>
    <n v="780.05"/>
  </r>
  <r>
    <n v="447"/>
    <x v="27"/>
    <s v="Structural"/>
    <d v="2024-09-01T00:00:00"/>
    <s v="Internal"/>
    <s v="Minor"/>
    <s v="Automated Testing"/>
    <n v="750.51"/>
  </r>
  <r>
    <n v="448"/>
    <x v="53"/>
    <s v="Functional"/>
    <d v="2024-10-05T00:00:00"/>
    <s v="Component"/>
    <s v="Moderate"/>
    <s v="Manual Testing"/>
    <n v="908.59"/>
  </r>
  <r>
    <n v="449"/>
    <x v="40"/>
    <s v="Functional"/>
    <d v="2024-10-03T00:00:00"/>
    <s v="Component"/>
    <s v="Moderate"/>
    <s v="Visual Inspection"/>
    <n v="705.47"/>
  </r>
  <r>
    <n v="450"/>
    <x v="67"/>
    <s v="Functional"/>
    <s v="4/23/2024"/>
    <s v="Internal"/>
    <s v="Minor"/>
    <s v="Automated Testing"/>
    <n v="406.28"/>
  </r>
  <r>
    <n v="451"/>
    <x v="99"/>
    <s v="Functional"/>
    <d v="2024-02-01T00:00:00"/>
    <s v="Internal"/>
    <s v="Critical"/>
    <s v="Manual Testing"/>
    <n v="295.41000000000003"/>
  </r>
  <r>
    <n v="452"/>
    <x v="1"/>
    <s v="Structural"/>
    <d v="2024-04-03T00:00:00"/>
    <s v="Internal"/>
    <s v="Critical"/>
    <s v="Visual Inspection"/>
    <n v="903.36"/>
  </r>
  <r>
    <n v="453"/>
    <x v="11"/>
    <s v="Structural"/>
    <s v="5/17/2024"/>
    <s v="Component"/>
    <s v="Moderate"/>
    <s v="Manual Testing"/>
    <n v="803.65"/>
  </r>
  <r>
    <n v="454"/>
    <x v="55"/>
    <s v="Functional"/>
    <s v="3/30/2024"/>
    <s v="Component"/>
    <s v="Moderate"/>
    <s v="Automated Testing"/>
    <n v="359.69"/>
  </r>
  <r>
    <n v="455"/>
    <x v="98"/>
    <s v="Structural"/>
    <s v="3/30/2024"/>
    <s v="Component"/>
    <s v="Moderate"/>
    <s v="Manual Testing"/>
    <n v="699.69"/>
  </r>
  <r>
    <n v="456"/>
    <x v="9"/>
    <s v="Structural"/>
    <d v="2024-05-04T00:00:00"/>
    <s v="Surface"/>
    <s v="Critical"/>
    <s v="Manual Testing"/>
    <n v="281.81"/>
  </r>
  <r>
    <n v="457"/>
    <x v="16"/>
    <s v="Structural"/>
    <d v="2024-11-04T00:00:00"/>
    <s v="Surface"/>
    <s v="Minor"/>
    <s v="Automated Testing"/>
    <n v="896.04"/>
  </r>
  <r>
    <n v="458"/>
    <x v="65"/>
    <s v="Functional"/>
    <s v="4/23/2024"/>
    <s v="Internal"/>
    <s v="Moderate"/>
    <s v="Visual Inspection"/>
    <n v="587.69000000000005"/>
  </r>
  <r>
    <n v="459"/>
    <x v="35"/>
    <s v="Functional"/>
    <s v="2/26/2024"/>
    <s v="Component"/>
    <s v="Moderate"/>
    <s v="Automated Testing"/>
    <n v="623.52"/>
  </r>
  <r>
    <n v="460"/>
    <x v="65"/>
    <s v="Structural"/>
    <d v="2024-11-06T00:00:00"/>
    <s v="Component"/>
    <s v="Minor"/>
    <s v="Visual Inspection"/>
    <n v="668.05"/>
  </r>
  <r>
    <n v="461"/>
    <x v="77"/>
    <s v="Functional"/>
    <d v="2024-02-03T00:00:00"/>
    <s v="Internal"/>
    <s v="Minor"/>
    <s v="Visual Inspection"/>
    <n v="571.02"/>
  </r>
  <r>
    <n v="462"/>
    <x v="58"/>
    <s v="Structural"/>
    <s v="2/18/2024"/>
    <s v="Internal"/>
    <s v="Minor"/>
    <s v="Manual Testing"/>
    <n v="918.39"/>
  </r>
  <r>
    <n v="463"/>
    <x v="54"/>
    <s v="Functional"/>
    <s v="3/15/2024"/>
    <s v="Surface"/>
    <s v="Minor"/>
    <s v="Automated Testing"/>
    <n v="669.62"/>
  </r>
  <r>
    <n v="464"/>
    <x v="18"/>
    <s v="Functional"/>
    <s v="1/27/2024"/>
    <s v="Component"/>
    <s v="Moderate"/>
    <s v="Visual Inspection"/>
    <n v="581.01"/>
  </r>
  <r>
    <n v="465"/>
    <x v="22"/>
    <s v="Structural"/>
    <s v="5/20/2024"/>
    <s v="Internal"/>
    <s v="Minor"/>
    <s v="Manual Testing"/>
    <n v="899.45"/>
  </r>
  <r>
    <n v="466"/>
    <x v="89"/>
    <s v="Cosmetic"/>
    <d v="2024-05-01T00:00:00"/>
    <s v="Surface"/>
    <s v="Critical"/>
    <s v="Visual Inspection"/>
    <n v="764.59"/>
  </r>
  <r>
    <n v="467"/>
    <x v="64"/>
    <s v="Cosmetic"/>
    <s v="2/28/2024"/>
    <s v="Internal"/>
    <s v="Moderate"/>
    <s v="Automated Testing"/>
    <n v="150.16"/>
  </r>
  <r>
    <n v="468"/>
    <x v="56"/>
    <s v="Functional"/>
    <s v="3/26/2024"/>
    <s v="Internal"/>
    <s v="Minor"/>
    <s v="Visual Inspection"/>
    <n v="791.72"/>
  </r>
  <r>
    <n v="469"/>
    <x v="7"/>
    <s v="Functional"/>
    <s v="4/28/2024"/>
    <s v="Surface"/>
    <s v="Moderate"/>
    <s v="Manual Testing"/>
    <n v="15.1"/>
  </r>
  <r>
    <n v="470"/>
    <x v="79"/>
    <s v="Structural"/>
    <s v="2/22/2024"/>
    <s v="Component"/>
    <s v="Minor"/>
    <s v="Visual Inspection"/>
    <n v="466.92"/>
  </r>
  <r>
    <n v="471"/>
    <x v="85"/>
    <s v="Cosmetic"/>
    <s v="3/24/2024"/>
    <s v="Internal"/>
    <s v="Minor"/>
    <s v="Manual Testing"/>
    <n v="833.02"/>
  </r>
  <r>
    <n v="472"/>
    <x v="45"/>
    <s v="Functional"/>
    <s v="3/24/2024"/>
    <s v="Internal"/>
    <s v="Critical"/>
    <s v="Visual Inspection"/>
    <n v="907.98"/>
  </r>
  <r>
    <n v="473"/>
    <x v="83"/>
    <s v="Structural"/>
    <s v="2/25/2024"/>
    <s v="Internal"/>
    <s v="Minor"/>
    <s v="Manual Testing"/>
    <n v="652.85"/>
  </r>
  <r>
    <n v="474"/>
    <x v="41"/>
    <s v="Cosmetic"/>
    <d v="2024-04-02T00:00:00"/>
    <s v="Component"/>
    <s v="Moderate"/>
    <s v="Automated Testing"/>
    <n v="618.88"/>
  </r>
  <r>
    <n v="475"/>
    <x v="62"/>
    <s v="Cosmetic"/>
    <s v="3/16/2024"/>
    <s v="Surface"/>
    <s v="Moderate"/>
    <s v="Manual Testing"/>
    <n v="140.36000000000001"/>
  </r>
  <r>
    <n v="476"/>
    <x v="11"/>
    <s v="Cosmetic"/>
    <d v="2024-01-02T00:00:00"/>
    <s v="Internal"/>
    <s v="Critical"/>
    <s v="Visual Inspection"/>
    <n v="683.68"/>
  </r>
  <r>
    <n v="477"/>
    <x v="83"/>
    <s v="Functional"/>
    <s v="2/23/2024"/>
    <s v="Component"/>
    <s v="Critical"/>
    <s v="Visual Inspection"/>
    <n v="613.47"/>
  </r>
  <r>
    <n v="478"/>
    <x v="27"/>
    <s v="Functional"/>
    <s v="1/18/2024"/>
    <s v="Surface"/>
    <s v="Moderate"/>
    <s v="Visual Inspection"/>
    <n v="895.11"/>
  </r>
  <r>
    <n v="479"/>
    <x v="96"/>
    <s v="Cosmetic"/>
    <d v="2024-07-06T00:00:00"/>
    <s v="Component"/>
    <s v="Critical"/>
    <s v="Visual Inspection"/>
    <n v="515.94000000000005"/>
  </r>
  <r>
    <n v="480"/>
    <x v="80"/>
    <s v="Functional"/>
    <d v="2024-07-01T00:00:00"/>
    <s v="Internal"/>
    <s v="Minor"/>
    <s v="Automated Testing"/>
    <n v="293.08999999999997"/>
  </r>
  <r>
    <n v="481"/>
    <x v="65"/>
    <s v="Cosmetic"/>
    <d v="2024-02-06T00:00:00"/>
    <s v="Surface"/>
    <s v="Critical"/>
    <s v="Automated Testing"/>
    <n v="689.42"/>
  </r>
  <r>
    <n v="482"/>
    <x v="29"/>
    <s v="Structural"/>
    <s v="6/16/2024"/>
    <s v="Surface"/>
    <s v="Critical"/>
    <s v="Visual Inspection"/>
    <n v="148.53"/>
  </r>
  <r>
    <n v="483"/>
    <x v="3"/>
    <s v="Structural"/>
    <s v="2/17/2024"/>
    <s v="Component"/>
    <s v="Moderate"/>
    <s v="Visual Inspection"/>
    <n v="933.3"/>
  </r>
  <r>
    <n v="484"/>
    <x v="72"/>
    <s v="Cosmetic"/>
    <d v="2024-10-02T00:00:00"/>
    <s v="Internal"/>
    <s v="Minor"/>
    <s v="Manual Testing"/>
    <n v="336.75"/>
  </r>
  <r>
    <n v="485"/>
    <x v="98"/>
    <s v="Structural"/>
    <s v="2/29/2024"/>
    <s v="Surface"/>
    <s v="Minor"/>
    <s v="Manual Testing"/>
    <n v="223.73"/>
  </r>
  <r>
    <n v="486"/>
    <x v="62"/>
    <s v="Cosmetic"/>
    <s v="3/29/2024"/>
    <s v="Internal"/>
    <s v="Critical"/>
    <s v="Automated Testing"/>
    <n v="236.47"/>
  </r>
  <r>
    <n v="487"/>
    <x v="97"/>
    <s v="Cosmetic"/>
    <s v="3/13/2024"/>
    <s v="Internal"/>
    <s v="Critical"/>
    <s v="Manual Testing"/>
    <n v="647.11"/>
  </r>
  <r>
    <n v="488"/>
    <x v="30"/>
    <s v="Cosmetic"/>
    <d v="2024-04-04T00:00:00"/>
    <s v="Surface"/>
    <s v="Minor"/>
    <s v="Automated Testing"/>
    <n v="268.57"/>
  </r>
  <r>
    <n v="489"/>
    <x v="89"/>
    <s v="Cosmetic"/>
    <d v="2024-10-05T00:00:00"/>
    <s v="Internal"/>
    <s v="Minor"/>
    <s v="Visual Inspection"/>
    <n v="405.89"/>
  </r>
  <r>
    <n v="490"/>
    <x v="31"/>
    <s v="Functional"/>
    <d v="2024-11-03T00:00:00"/>
    <s v="Internal"/>
    <s v="Minor"/>
    <s v="Manual Testing"/>
    <n v="643.98"/>
  </r>
  <r>
    <n v="491"/>
    <x v="7"/>
    <s v="Functional"/>
    <s v="2/19/2024"/>
    <s v="Internal"/>
    <s v="Critical"/>
    <s v="Manual Testing"/>
    <n v="183.11"/>
  </r>
  <r>
    <n v="492"/>
    <x v="37"/>
    <s v="Functional"/>
    <s v="4/21/2024"/>
    <s v="Component"/>
    <s v="Moderate"/>
    <s v="Visual Inspection"/>
    <n v="878.64"/>
  </r>
  <r>
    <n v="493"/>
    <x v="27"/>
    <s v="Functional"/>
    <d v="2024-09-06T00:00:00"/>
    <s v="Component"/>
    <s v="Critical"/>
    <s v="Manual Testing"/>
    <n v="702.09"/>
  </r>
  <r>
    <n v="494"/>
    <x v="49"/>
    <s v="Structural"/>
    <d v="2024-01-03T00:00:00"/>
    <s v="Internal"/>
    <s v="Critical"/>
    <s v="Visual Inspection"/>
    <n v="823.59"/>
  </r>
  <r>
    <n v="495"/>
    <x v="33"/>
    <s v="Structural"/>
    <s v="1/28/2024"/>
    <s v="Surface"/>
    <s v="Moderate"/>
    <s v="Automated Testing"/>
    <n v="294.56"/>
  </r>
  <r>
    <n v="496"/>
    <x v="1"/>
    <s v="Functional"/>
    <s v="1/16/2024"/>
    <s v="Internal"/>
    <s v="Critical"/>
    <s v="Visual Inspection"/>
    <n v="533.14"/>
  </r>
  <r>
    <n v="497"/>
    <x v="33"/>
    <s v="Functional"/>
    <s v="3/28/2024"/>
    <s v="Component"/>
    <s v="Critical"/>
    <s v="Visual Inspection"/>
    <n v="975.5"/>
  </r>
  <r>
    <n v="498"/>
    <x v="12"/>
    <s v="Cosmetic"/>
    <s v="6/17/2024"/>
    <s v="Internal"/>
    <s v="Moderate"/>
    <s v="Visual Inspection"/>
    <n v="707.21"/>
  </r>
  <r>
    <n v="499"/>
    <x v="23"/>
    <s v="Cosmetic"/>
    <d v="2024-01-04T00:00:00"/>
    <s v="Surface"/>
    <s v="Moderate"/>
    <s v="Visual Inspection"/>
    <n v="775.91"/>
  </r>
  <r>
    <n v="500"/>
    <x v="68"/>
    <s v="Functional"/>
    <s v="4/19/2024"/>
    <s v="Surface"/>
    <s v="Moderate"/>
    <s v="Manual Testing"/>
    <n v="617.36"/>
  </r>
  <r>
    <n v="501"/>
    <x v="92"/>
    <s v="Structural"/>
    <s v="1/13/2024"/>
    <s v="Surface"/>
    <s v="Minor"/>
    <s v="Visual Inspection"/>
    <n v="922.52"/>
  </r>
  <r>
    <n v="502"/>
    <x v="41"/>
    <s v="Structural"/>
    <s v="4/26/2024"/>
    <s v="Surface"/>
    <s v="Minor"/>
    <s v="Automated Testing"/>
    <n v="81.91"/>
  </r>
  <r>
    <n v="503"/>
    <x v="73"/>
    <s v="Cosmetic"/>
    <s v="6/13/2024"/>
    <s v="Surface"/>
    <s v="Critical"/>
    <s v="Manual Testing"/>
    <n v="40.19"/>
  </r>
  <r>
    <n v="504"/>
    <x v="14"/>
    <s v="Cosmetic"/>
    <s v="5/26/2024"/>
    <s v="Internal"/>
    <s v="Moderate"/>
    <s v="Manual Testing"/>
    <n v="943.79"/>
  </r>
  <r>
    <n v="505"/>
    <x v="32"/>
    <s v="Structural"/>
    <d v="2024-11-04T00:00:00"/>
    <s v="Surface"/>
    <s v="Minor"/>
    <s v="Visual Inspection"/>
    <n v="411.9"/>
  </r>
  <r>
    <n v="506"/>
    <x v="65"/>
    <s v="Structural"/>
    <d v="2024-05-05T00:00:00"/>
    <s v="Internal"/>
    <s v="Critical"/>
    <s v="Visual Inspection"/>
    <n v="759.53"/>
  </r>
  <r>
    <n v="507"/>
    <x v="18"/>
    <s v="Cosmetic"/>
    <s v="1/15/2024"/>
    <s v="Component"/>
    <s v="Critical"/>
    <s v="Manual Testing"/>
    <n v="368.11"/>
  </r>
  <r>
    <n v="508"/>
    <x v="70"/>
    <s v="Functional"/>
    <d v="2024-04-04T00:00:00"/>
    <s v="Surface"/>
    <s v="Moderate"/>
    <s v="Visual Inspection"/>
    <n v="27.9"/>
  </r>
  <r>
    <n v="509"/>
    <x v="73"/>
    <s v="Structural"/>
    <s v="4/21/2024"/>
    <s v="Internal"/>
    <s v="Critical"/>
    <s v="Automated Testing"/>
    <n v="670.09"/>
  </r>
  <r>
    <n v="510"/>
    <x v="52"/>
    <s v="Functional"/>
    <s v="5/24/2024"/>
    <s v="Internal"/>
    <s v="Critical"/>
    <s v="Automated Testing"/>
    <n v="790.76"/>
  </r>
  <r>
    <n v="511"/>
    <x v="31"/>
    <s v="Cosmetic"/>
    <s v="6/20/2024"/>
    <s v="Internal"/>
    <s v="Moderate"/>
    <s v="Manual Testing"/>
    <n v="769.88"/>
  </r>
  <r>
    <n v="512"/>
    <x v="72"/>
    <s v="Cosmetic"/>
    <d v="2024-06-05T00:00:00"/>
    <s v="Internal"/>
    <s v="Critical"/>
    <s v="Automated Testing"/>
    <n v="262.60000000000002"/>
  </r>
  <r>
    <n v="513"/>
    <x v="50"/>
    <s v="Cosmetic"/>
    <s v="3/23/2024"/>
    <s v="Surface"/>
    <s v="Moderate"/>
    <s v="Visual Inspection"/>
    <n v="520.44000000000005"/>
  </r>
  <r>
    <n v="514"/>
    <x v="57"/>
    <s v="Structural"/>
    <s v="5/19/2024"/>
    <s v="Component"/>
    <s v="Minor"/>
    <s v="Visual Inspection"/>
    <n v="624.75"/>
  </r>
  <r>
    <n v="515"/>
    <x v="25"/>
    <s v="Structural"/>
    <s v="3/22/2024"/>
    <s v="Internal"/>
    <s v="Moderate"/>
    <s v="Manual Testing"/>
    <n v="496.27"/>
  </r>
  <r>
    <n v="516"/>
    <x v="45"/>
    <s v="Functional"/>
    <s v="6/20/2024"/>
    <s v="Component"/>
    <s v="Moderate"/>
    <s v="Automated Testing"/>
    <n v="368.54"/>
  </r>
  <r>
    <n v="517"/>
    <x v="86"/>
    <s v="Cosmetic"/>
    <d v="2024-12-06T00:00:00"/>
    <s v="Internal"/>
    <s v="Moderate"/>
    <s v="Manual Testing"/>
    <n v="942.94"/>
  </r>
  <r>
    <n v="518"/>
    <x v="75"/>
    <s v="Cosmetic"/>
    <s v="3/28/2024"/>
    <s v="Internal"/>
    <s v="Critical"/>
    <s v="Automated Testing"/>
    <n v="449.63"/>
  </r>
  <r>
    <n v="519"/>
    <x v="71"/>
    <s v="Functional"/>
    <s v="6/18/2024"/>
    <s v="Internal"/>
    <s v="Critical"/>
    <s v="Manual Testing"/>
    <n v="117.82"/>
  </r>
  <r>
    <n v="520"/>
    <x v="54"/>
    <s v="Functional"/>
    <d v="2024-12-05T00:00:00"/>
    <s v="Internal"/>
    <s v="Critical"/>
    <s v="Visual Inspection"/>
    <n v="300.05"/>
  </r>
  <r>
    <n v="521"/>
    <x v="11"/>
    <s v="Structural"/>
    <d v="2024-07-01T00:00:00"/>
    <s v="Surface"/>
    <s v="Critical"/>
    <s v="Visual Inspection"/>
    <n v="975.1"/>
  </r>
  <r>
    <n v="522"/>
    <x v="55"/>
    <s v="Structural"/>
    <s v="1/13/2024"/>
    <s v="Surface"/>
    <s v="Critical"/>
    <s v="Manual Testing"/>
    <n v="74.36"/>
  </r>
  <r>
    <n v="523"/>
    <x v="1"/>
    <s v="Functional"/>
    <d v="2024-08-01T00:00:00"/>
    <s v="Component"/>
    <s v="Moderate"/>
    <s v="Automated Testing"/>
    <n v="924.05"/>
  </r>
  <r>
    <n v="524"/>
    <x v="4"/>
    <s v="Cosmetic"/>
    <d v="2024-10-02T00:00:00"/>
    <s v="Surface"/>
    <s v="Minor"/>
    <s v="Visual Inspection"/>
    <n v="132.38999999999999"/>
  </r>
  <r>
    <n v="525"/>
    <x v="72"/>
    <s v="Functional"/>
    <s v="2/24/2024"/>
    <s v="Surface"/>
    <s v="Critical"/>
    <s v="Manual Testing"/>
    <n v="893.77"/>
  </r>
  <r>
    <n v="526"/>
    <x v="38"/>
    <s v="Structural"/>
    <d v="2024-10-02T00:00:00"/>
    <s v="Surface"/>
    <s v="Minor"/>
    <s v="Manual Testing"/>
    <n v="142.63999999999999"/>
  </r>
  <r>
    <n v="527"/>
    <x v="55"/>
    <s v="Structural"/>
    <s v="4/19/2024"/>
    <s v="Component"/>
    <s v="Minor"/>
    <s v="Manual Testing"/>
    <n v="368.94"/>
  </r>
  <r>
    <n v="528"/>
    <x v="59"/>
    <s v="Functional"/>
    <d v="2024-10-06T00:00:00"/>
    <s v="Internal"/>
    <s v="Minor"/>
    <s v="Automated Testing"/>
    <n v="997.03"/>
  </r>
  <r>
    <n v="529"/>
    <x v="88"/>
    <s v="Structural"/>
    <d v="2024-02-01T00:00:00"/>
    <s v="Surface"/>
    <s v="Minor"/>
    <s v="Manual Testing"/>
    <n v="496.1"/>
  </r>
  <r>
    <n v="530"/>
    <x v="56"/>
    <s v="Functional"/>
    <d v="2024-02-02T00:00:00"/>
    <s v="Surface"/>
    <s v="Critical"/>
    <s v="Automated Testing"/>
    <n v="798.12"/>
  </r>
  <r>
    <n v="531"/>
    <x v="81"/>
    <s v="Cosmetic"/>
    <d v="2024-08-02T00:00:00"/>
    <s v="Internal"/>
    <s v="Critical"/>
    <s v="Visual Inspection"/>
    <n v="572.74"/>
  </r>
  <r>
    <n v="532"/>
    <x v="1"/>
    <s v="Structural"/>
    <d v="2024-10-02T00:00:00"/>
    <s v="Surface"/>
    <s v="Critical"/>
    <s v="Manual Testing"/>
    <n v="53.77"/>
  </r>
  <r>
    <n v="533"/>
    <x v="33"/>
    <s v="Cosmetic"/>
    <d v="2024-03-04T00:00:00"/>
    <s v="Surface"/>
    <s v="Minor"/>
    <s v="Visual Inspection"/>
    <n v="369.83"/>
  </r>
  <r>
    <n v="534"/>
    <x v="4"/>
    <s v="Cosmetic"/>
    <d v="2024-11-04T00:00:00"/>
    <s v="Surface"/>
    <s v="Minor"/>
    <s v="Visual Inspection"/>
    <n v="398.17"/>
  </r>
  <r>
    <n v="535"/>
    <x v="86"/>
    <s v="Structural"/>
    <s v="3/21/2024"/>
    <s v="Internal"/>
    <s v="Critical"/>
    <s v="Automated Testing"/>
    <n v="825.57"/>
  </r>
  <r>
    <n v="536"/>
    <x v="59"/>
    <s v="Functional"/>
    <s v="5/13/2024"/>
    <s v="Internal"/>
    <s v="Critical"/>
    <s v="Automated Testing"/>
    <n v="201.88"/>
  </r>
  <r>
    <n v="537"/>
    <x v="73"/>
    <s v="Cosmetic"/>
    <s v="6/13/2024"/>
    <s v="Component"/>
    <s v="Critical"/>
    <s v="Visual Inspection"/>
    <n v="47.47"/>
  </r>
  <r>
    <n v="538"/>
    <x v="61"/>
    <s v="Structural"/>
    <d v="2024-11-05T00:00:00"/>
    <s v="Component"/>
    <s v="Moderate"/>
    <s v="Automated Testing"/>
    <n v="856.33"/>
  </r>
  <r>
    <n v="539"/>
    <x v="0"/>
    <s v="Cosmetic"/>
    <d v="2024-12-05T00:00:00"/>
    <s v="Internal"/>
    <s v="Moderate"/>
    <s v="Manual Testing"/>
    <n v="497.65"/>
  </r>
  <r>
    <n v="540"/>
    <x v="9"/>
    <s v="Cosmetic"/>
    <s v="2/14/2024"/>
    <s v="Internal"/>
    <s v="Minor"/>
    <s v="Manual Testing"/>
    <n v="908.53"/>
  </r>
  <r>
    <n v="541"/>
    <x v="94"/>
    <s v="Cosmetic"/>
    <s v="4/29/2024"/>
    <s v="Component"/>
    <s v="Critical"/>
    <s v="Manual Testing"/>
    <n v="371.88"/>
  </r>
  <r>
    <n v="542"/>
    <x v="33"/>
    <s v="Functional"/>
    <s v="6/25/2024"/>
    <s v="Surface"/>
    <s v="Moderate"/>
    <s v="Manual Testing"/>
    <n v="960.15"/>
  </r>
  <r>
    <n v="543"/>
    <x v="79"/>
    <s v="Structural"/>
    <s v="3/18/2024"/>
    <s v="Component"/>
    <s v="Minor"/>
    <s v="Visual Inspection"/>
    <n v="73.55"/>
  </r>
  <r>
    <n v="544"/>
    <x v="58"/>
    <s v="Cosmetic"/>
    <d v="2024-12-01T00:00:00"/>
    <s v="Component"/>
    <s v="Minor"/>
    <s v="Automated Testing"/>
    <n v="615.42999999999995"/>
  </r>
  <r>
    <n v="545"/>
    <x v="76"/>
    <s v="Structural"/>
    <s v="6/17/2024"/>
    <s v="Component"/>
    <s v="Minor"/>
    <s v="Visual Inspection"/>
    <n v="619.02"/>
  </r>
  <r>
    <n v="546"/>
    <x v="5"/>
    <s v="Functional"/>
    <s v="1/15/2024"/>
    <s v="Component"/>
    <s v="Minor"/>
    <s v="Manual Testing"/>
    <n v="677.64"/>
  </r>
  <r>
    <n v="547"/>
    <x v="3"/>
    <s v="Cosmetic"/>
    <s v="2/25/2024"/>
    <s v="Surface"/>
    <s v="Moderate"/>
    <s v="Visual Inspection"/>
    <n v="684.16"/>
  </r>
  <r>
    <n v="548"/>
    <x v="7"/>
    <s v="Functional"/>
    <s v="3/26/2024"/>
    <s v="Internal"/>
    <s v="Critical"/>
    <s v="Automated Testing"/>
    <n v="536.37"/>
  </r>
  <r>
    <n v="549"/>
    <x v="59"/>
    <s v="Cosmetic"/>
    <s v="1/22/2024"/>
    <s v="Surface"/>
    <s v="Minor"/>
    <s v="Visual Inspection"/>
    <n v="47.22"/>
  </r>
  <r>
    <n v="550"/>
    <x v="60"/>
    <s v="Structural"/>
    <s v="5/26/2024"/>
    <s v="Surface"/>
    <s v="Minor"/>
    <s v="Automated Testing"/>
    <n v="704.44"/>
  </r>
  <r>
    <n v="551"/>
    <x v="12"/>
    <s v="Functional"/>
    <s v="4/15/2024"/>
    <s v="Surface"/>
    <s v="Minor"/>
    <s v="Automated Testing"/>
    <n v="512.02"/>
  </r>
  <r>
    <n v="552"/>
    <x v="57"/>
    <s v="Structural"/>
    <d v="2024-04-06T00:00:00"/>
    <s v="Component"/>
    <s v="Minor"/>
    <s v="Automated Testing"/>
    <n v="36.04"/>
  </r>
  <r>
    <n v="553"/>
    <x v="31"/>
    <s v="Functional"/>
    <d v="2024-10-01T00:00:00"/>
    <s v="Surface"/>
    <s v="Critical"/>
    <s v="Manual Testing"/>
    <n v="811.65"/>
  </r>
  <r>
    <n v="554"/>
    <x v="8"/>
    <s v="Functional"/>
    <s v="1/28/2024"/>
    <s v="Internal"/>
    <s v="Critical"/>
    <s v="Automated Testing"/>
    <n v="900.37"/>
  </r>
  <r>
    <n v="555"/>
    <x v="75"/>
    <s v="Functional"/>
    <d v="2024-06-03T00:00:00"/>
    <s v="Component"/>
    <s v="Minor"/>
    <s v="Automated Testing"/>
    <n v="644.51"/>
  </r>
  <r>
    <n v="556"/>
    <x v="51"/>
    <s v="Functional"/>
    <d v="2024-11-02T00:00:00"/>
    <s v="Surface"/>
    <s v="Minor"/>
    <s v="Visual Inspection"/>
    <n v="355.85"/>
  </r>
  <r>
    <n v="557"/>
    <x v="62"/>
    <s v="Functional"/>
    <d v="2024-03-03T00:00:00"/>
    <s v="Internal"/>
    <s v="Minor"/>
    <s v="Manual Testing"/>
    <n v="945.18"/>
  </r>
  <r>
    <n v="558"/>
    <x v="31"/>
    <s v="Structural"/>
    <s v="4/13/2024"/>
    <s v="Internal"/>
    <s v="Minor"/>
    <s v="Visual Inspection"/>
    <n v="201.79"/>
  </r>
  <r>
    <n v="559"/>
    <x v="5"/>
    <s v="Cosmetic"/>
    <s v="2/26/2024"/>
    <s v="Internal"/>
    <s v="Minor"/>
    <s v="Manual Testing"/>
    <n v="73"/>
  </r>
  <r>
    <n v="560"/>
    <x v="91"/>
    <s v="Cosmetic"/>
    <d v="2024-09-01T00:00:00"/>
    <s v="Surface"/>
    <s v="Moderate"/>
    <s v="Manual Testing"/>
    <n v="769.57"/>
  </r>
  <r>
    <n v="561"/>
    <x v="10"/>
    <s v="Functional"/>
    <s v="3/27/2024"/>
    <s v="Surface"/>
    <s v="Moderate"/>
    <s v="Automated Testing"/>
    <n v="930.11"/>
  </r>
  <r>
    <n v="562"/>
    <x v="13"/>
    <s v="Cosmetic"/>
    <s v="1/15/2024"/>
    <s v="Internal"/>
    <s v="Moderate"/>
    <s v="Manual Testing"/>
    <n v="554.98"/>
  </r>
  <r>
    <n v="563"/>
    <x v="58"/>
    <s v="Functional"/>
    <s v="2/13/2024"/>
    <s v="Component"/>
    <s v="Minor"/>
    <s v="Automated Testing"/>
    <n v="826.59"/>
  </r>
  <r>
    <n v="564"/>
    <x v="57"/>
    <s v="Functional"/>
    <s v="2/18/2024"/>
    <s v="Surface"/>
    <s v="Critical"/>
    <s v="Manual Testing"/>
    <n v="362.82"/>
  </r>
  <r>
    <n v="565"/>
    <x v="27"/>
    <s v="Structural"/>
    <s v="1/15/2024"/>
    <s v="Surface"/>
    <s v="Minor"/>
    <s v="Manual Testing"/>
    <n v="946.8"/>
  </r>
  <r>
    <n v="566"/>
    <x v="71"/>
    <s v="Cosmetic"/>
    <s v="2/17/2024"/>
    <s v="Internal"/>
    <s v="Minor"/>
    <s v="Automated Testing"/>
    <n v="192.28"/>
  </r>
  <r>
    <n v="567"/>
    <x v="83"/>
    <s v="Functional"/>
    <d v="2024-04-04T00:00:00"/>
    <s v="Internal"/>
    <s v="Critical"/>
    <s v="Automated Testing"/>
    <n v="383.41"/>
  </r>
  <r>
    <n v="568"/>
    <x v="41"/>
    <s v="Structural"/>
    <s v="3/19/2024"/>
    <s v="Surface"/>
    <s v="Minor"/>
    <s v="Automated Testing"/>
    <n v="132.83000000000001"/>
  </r>
  <r>
    <n v="569"/>
    <x v="62"/>
    <s v="Functional"/>
    <s v="5/14/2024"/>
    <s v="Component"/>
    <s v="Critical"/>
    <s v="Automated Testing"/>
    <n v="904.32"/>
  </r>
  <r>
    <n v="570"/>
    <x v="31"/>
    <s v="Cosmetic"/>
    <s v="3/22/2024"/>
    <s v="Internal"/>
    <s v="Critical"/>
    <s v="Visual Inspection"/>
    <n v="944.63"/>
  </r>
  <r>
    <n v="571"/>
    <x v="87"/>
    <s v="Functional"/>
    <s v="4/19/2024"/>
    <s v="Surface"/>
    <s v="Critical"/>
    <s v="Manual Testing"/>
    <n v="524.5"/>
  </r>
  <r>
    <n v="572"/>
    <x v="43"/>
    <s v="Structural"/>
    <s v="2/17/2024"/>
    <s v="Internal"/>
    <s v="Critical"/>
    <s v="Visual Inspection"/>
    <n v="976.75"/>
  </r>
  <r>
    <n v="573"/>
    <x v="92"/>
    <s v="Cosmetic"/>
    <s v="2/27/2024"/>
    <s v="Internal"/>
    <s v="Critical"/>
    <s v="Visual Inspection"/>
    <n v="508.94"/>
  </r>
  <r>
    <n v="574"/>
    <x v="44"/>
    <s v="Functional"/>
    <s v="1/21/2024"/>
    <s v="Component"/>
    <s v="Critical"/>
    <s v="Visual Inspection"/>
    <n v="565.86"/>
  </r>
  <r>
    <n v="575"/>
    <x v="13"/>
    <s v="Functional"/>
    <d v="2024-07-03T00:00:00"/>
    <s v="Component"/>
    <s v="Minor"/>
    <s v="Visual Inspection"/>
    <n v="151.62"/>
  </r>
  <r>
    <n v="576"/>
    <x v="66"/>
    <s v="Structural"/>
    <d v="2024-10-04T00:00:00"/>
    <s v="Surface"/>
    <s v="Critical"/>
    <s v="Automated Testing"/>
    <n v="394.88"/>
  </r>
  <r>
    <n v="577"/>
    <x v="61"/>
    <s v="Functional"/>
    <s v="4/21/2024"/>
    <s v="Surface"/>
    <s v="Critical"/>
    <s v="Visual Inspection"/>
    <n v="404.22"/>
  </r>
  <r>
    <n v="578"/>
    <x v="97"/>
    <s v="Structural"/>
    <d v="2024-09-06T00:00:00"/>
    <s v="Component"/>
    <s v="Minor"/>
    <s v="Visual Inspection"/>
    <n v="564.82000000000005"/>
  </r>
  <r>
    <n v="579"/>
    <x v="68"/>
    <s v="Structural"/>
    <d v="2024-12-04T00:00:00"/>
    <s v="Internal"/>
    <s v="Minor"/>
    <s v="Manual Testing"/>
    <n v="722.21"/>
  </r>
  <r>
    <n v="580"/>
    <x v="0"/>
    <s v="Structural"/>
    <d v="2024-04-03T00:00:00"/>
    <s v="Internal"/>
    <s v="Moderate"/>
    <s v="Visual Inspection"/>
    <n v="16.05"/>
  </r>
  <r>
    <n v="581"/>
    <x v="39"/>
    <s v="Functional"/>
    <s v="6/20/2024"/>
    <s v="Internal"/>
    <s v="Moderate"/>
    <s v="Manual Testing"/>
    <n v="666.31"/>
  </r>
  <r>
    <n v="582"/>
    <x v="67"/>
    <s v="Cosmetic"/>
    <d v="2024-08-06T00:00:00"/>
    <s v="Component"/>
    <s v="Moderate"/>
    <s v="Automated Testing"/>
    <n v="346.73"/>
  </r>
  <r>
    <n v="583"/>
    <x v="11"/>
    <s v="Structural"/>
    <s v="6/29/2024"/>
    <s v="Internal"/>
    <s v="Moderate"/>
    <s v="Automated Testing"/>
    <n v="138.41999999999999"/>
  </r>
  <r>
    <n v="584"/>
    <x v="24"/>
    <s v="Structural"/>
    <s v="6/29/2024"/>
    <s v="Component"/>
    <s v="Minor"/>
    <s v="Visual Inspection"/>
    <n v="663.53"/>
  </r>
  <r>
    <n v="585"/>
    <x v="93"/>
    <s v="Structural"/>
    <d v="2024-01-06T00:00:00"/>
    <s v="Surface"/>
    <s v="Critical"/>
    <s v="Automated Testing"/>
    <n v="150.78"/>
  </r>
  <r>
    <n v="586"/>
    <x v="62"/>
    <s v="Cosmetic"/>
    <d v="2024-11-03T00:00:00"/>
    <s v="Surface"/>
    <s v="Critical"/>
    <s v="Automated Testing"/>
    <n v="503.25"/>
  </r>
  <r>
    <n v="587"/>
    <x v="29"/>
    <s v="Structural"/>
    <d v="2024-03-02T00:00:00"/>
    <s v="Surface"/>
    <s v="Moderate"/>
    <s v="Manual Testing"/>
    <n v="576.57000000000005"/>
  </r>
  <r>
    <n v="588"/>
    <x v="95"/>
    <s v="Structural"/>
    <s v="2/26/2024"/>
    <s v="Surface"/>
    <s v="Moderate"/>
    <s v="Visual Inspection"/>
    <n v="204.6"/>
  </r>
  <r>
    <n v="589"/>
    <x v="59"/>
    <s v="Structural"/>
    <d v="2024-03-03T00:00:00"/>
    <s v="Internal"/>
    <s v="Moderate"/>
    <s v="Visual Inspection"/>
    <n v="410.72"/>
  </r>
  <r>
    <n v="590"/>
    <x v="7"/>
    <s v="Structural"/>
    <s v="2/17/2024"/>
    <s v="Component"/>
    <s v="Minor"/>
    <s v="Manual Testing"/>
    <n v="50.38"/>
  </r>
  <r>
    <n v="591"/>
    <x v="7"/>
    <s v="Functional"/>
    <d v="2024-09-02T00:00:00"/>
    <s v="Surface"/>
    <s v="Moderate"/>
    <s v="Manual Testing"/>
    <n v="400.31"/>
  </r>
  <r>
    <n v="592"/>
    <x v="40"/>
    <s v="Structural"/>
    <d v="2024-01-06T00:00:00"/>
    <s v="Internal"/>
    <s v="Minor"/>
    <s v="Automated Testing"/>
    <n v="301.7"/>
  </r>
  <r>
    <n v="593"/>
    <x v="43"/>
    <s v="Functional"/>
    <s v="6/23/2024"/>
    <s v="Surface"/>
    <s v="Moderate"/>
    <s v="Visual Inspection"/>
    <n v="64.739999999999995"/>
  </r>
  <r>
    <n v="594"/>
    <x v="71"/>
    <s v="Cosmetic"/>
    <s v="1/14/2024"/>
    <s v="Surface"/>
    <s v="Moderate"/>
    <s v="Automated Testing"/>
    <n v="485.27"/>
  </r>
  <r>
    <n v="595"/>
    <x v="23"/>
    <s v="Cosmetic"/>
    <s v="6/21/2024"/>
    <s v="Surface"/>
    <s v="Moderate"/>
    <s v="Automated Testing"/>
    <n v="194.44"/>
  </r>
  <r>
    <n v="596"/>
    <x v="14"/>
    <s v="Structural"/>
    <s v="6/16/2024"/>
    <s v="Internal"/>
    <s v="Moderate"/>
    <s v="Automated Testing"/>
    <n v="891.01"/>
  </r>
  <r>
    <n v="597"/>
    <x v="97"/>
    <s v="Cosmetic"/>
    <s v="4/19/2024"/>
    <s v="Internal"/>
    <s v="Critical"/>
    <s v="Automated Testing"/>
    <n v="267.51"/>
  </r>
  <r>
    <n v="598"/>
    <x v="98"/>
    <s v="Functional"/>
    <d v="2024-08-06T00:00:00"/>
    <s v="Component"/>
    <s v="Critical"/>
    <s v="Automated Testing"/>
    <n v="151.43"/>
  </r>
  <r>
    <n v="599"/>
    <x v="36"/>
    <s v="Functional"/>
    <s v="4/20/2024"/>
    <s v="Internal"/>
    <s v="Critical"/>
    <s v="Manual Testing"/>
    <n v="297.76"/>
  </r>
  <r>
    <n v="600"/>
    <x v="92"/>
    <s v="Cosmetic"/>
    <s v="4/21/2024"/>
    <s v="Component"/>
    <s v="Critical"/>
    <s v="Manual Testing"/>
    <n v="663.35"/>
  </r>
  <r>
    <n v="601"/>
    <x v="92"/>
    <s v="Structural"/>
    <s v="4/24/2024"/>
    <s v="Internal"/>
    <s v="Moderate"/>
    <s v="Visual Inspection"/>
    <n v="927.75"/>
  </r>
  <r>
    <n v="602"/>
    <x v="14"/>
    <s v="Cosmetic"/>
    <d v="2024-10-02T00:00:00"/>
    <s v="Surface"/>
    <s v="Moderate"/>
    <s v="Visual Inspection"/>
    <n v="283.60000000000002"/>
  </r>
  <r>
    <n v="603"/>
    <x v="10"/>
    <s v="Structural"/>
    <s v="3/21/2024"/>
    <s v="Surface"/>
    <s v="Moderate"/>
    <s v="Manual Testing"/>
    <n v="919.65"/>
  </r>
  <r>
    <n v="604"/>
    <x v="68"/>
    <s v="Functional"/>
    <s v="3/25/2024"/>
    <s v="Surface"/>
    <s v="Critical"/>
    <s v="Visual Inspection"/>
    <n v="302.29000000000002"/>
  </r>
  <r>
    <n v="605"/>
    <x v="16"/>
    <s v="Functional"/>
    <s v="5/27/2024"/>
    <s v="Surface"/>
    <s v="Moderate"/>
    <s v="Automated Testing"/>
    <n v="309.52999999999997"/>
  </r>
  <r>
    <n v="606"/>
    <x v="16"/>
    <s v="Structural"/>
    <s v="4/13/2024"/>
    <s v="Surface"/>
    <s v="Minor"/>
    <s v="Manual Testing"/>
    <n v="478.6"/>
  </r>
  <r>
    <n v="607"/>
    <x v="54"/>
    <s v="Cosmetic"/>
    <s v="5/30/2024"/>
    <s v="Component"/>
    <s v="Minor"/>
    <s v="Visual Inspection"/>
    <n v="419.58"/>
  </r>
  <r>
    <n v="608"/>
    <x v="44"/>
    <s v="Cosmetic"/>
    <s v="3/25/2024"/>
    <s v="Surface"/>
    <s v="Minor"/>
    <s v="Automated Testing"/>
    <n v="685.3"/>
  </r>
  <r>
    <n v="609"/>
    <x v="44"/>
    <s v="Structural"/>
    <d v="2024-06-05T00:00:00"/>
    <s v="Internal"/>
    <s v="Critical"/>
    <s v="Visual Inspection"/>
    <n v="390.64"/>
  </r>
  <r>
    <n v="610"/>
    <x v="18"/>
    <s v="Cosmetic"/>
    <d v="2024-12-05T00:00:00"/>
    <s v="Internal"/>
    <s v="Minor"/>
    <s v="Manual Testing"/>
    <n v="837.9"/>
  </r>
  <r>
    <n v="611"/>
    <x v="67"/>
    <s v="Functional"/>
    <s v="1/20/2024"/>
    <s v="Internal"/>
    <s v="Minor"/>
    <s v="Manual Testing"/>
    <n v="67.819999999999993"/>
  </r>
  <r>
    <n v="612"/>
    <x v="58"/>
    <s v="Structural"/>
    <s v="4/13/2024"/>
    <s v="Internal"/>
    <s v="Minor"/>
    <s v="Manual Testing"/>
    <n v="21.12"/>
  </r>
  <r>
    <n v="613"/>
    <x v="29"/>
    <s v="Structural"/>
    <d v="2024-08-01T00:00:00"/>
    <s v="Surface"/>
    <s v="Moderate"/>
    <s v="Visual Inspection"/>
    <n v="700.72"/>
  </r>
  <r>
    <n v="614"/>
    <x v="19"/>
    <s v="Cosmetic"/>
    <s v="1/18/2024"/>
    <s v="Surface"/>
    <s v="Critical"/>
    <s v="Manual Testing"/>
    <n v="893.3"/>
  </r>
  <r>
    <n v="615"/>
    <x v="15"/>
    <s v="Cosmetic"/>
    <d v="2024-02-03T00:00:00"/>
    <s v="Surface"/>
    <s v="Moderate"/>
    <s v="Automated Testing"/>
    <n v="736.75"/>
  </r>
  <r>
    <n v="616"/>
    <x v="18"/>
    <s v="Functional"/>
    <d v="2024-09-03T00:00:00"/>
    <s v="Internal"/>
    <s v="Critical"/>
    <s v="Manual Testing"/>
    <n v="803.54"/>
  </r>
  <r>
    <n v="617"/>
    <x v="87"/>
    <s v="Functional"/>
    <s v="3/23/2024"/>
    <s v="Internal"/>
    <s v="Moderate"/>
    <s v="Automated Testing"/>
    <n v="21.17"/>
  </r>
  <r>
    <n v="618"/>
    <x v="32"/>
    <s v="Functional"/>
    <s v="2/29/2024"/>
    <s v="Component"/>
    <s v="Minor"/>
    <s v="Manual Testing"/>
    <n v="678.59"/>
  </r>
  <r>
    <n v="619"/>
    <x v="12"/>
    <s v="Functional"/>
    <s v="2/18/2024"/>
    <s v="Component"/>
    <s v="Moderate"/>
    <s v="Automated Testing"/>
    <n v="220.01"/>
  </r>
  <r>
    <n v="620"/>
    <x v="30"/>
    <s v="Cosmetic"/>
    <d v="2024-03-02T00:00:00"/>
    <s v="Internal"/>
    <s v="Critical"/>
    <s v="Manual Testing"/>
    <n v="251.67"/>
  </r>
  <r>
    <n v="621"/>
    <x v="69"/>
    <s v="Structural"/>
    <d v="2024-10-04T00:00:00"/>
    <s v="Surface"/>
    <s v="Critical"/>
    <s v="Manual Testing"/>
    <n v="808.85"/>
  </r>
  <r>
    <n v="622"/>
    <x v="12"/>
    <s v="Structural"/>
    <d v="2024-06-01T00:00:00"/>
    <s v="Internal"/>
    <s v="Minor"/>
    <s v="Manual Testing"/>
    <n v="537.35"/>
  </r>
  <r>
    <n v="623"/>
    <x v="59"/>
    <s v="Cosmetic"/>
    <d v="2024-06-04T00:00:00"/>
    <s v="Component"/>
    <s v="Moderate"/>
    <s v="Manual Testing"/>
    <n v="178.3"/>
  </r>
  <r>
    <n v="624"/>
    <x v="58"/>
    <s v="Cosmetic"/>
    <d v="2024-09-01T00:00:00"/>
    <s v="Internal"/>
    <s v="Critical"/>
    <s v="Visual Inspection"/>
    <n v="638.79999999999995"/>
  </r>
  <r>
    <n v="625"/>
    <x v="56"/>
    <s v="Functional"/>
    <s v="6/24/2024"/>
    <s v="Internal"/>
    <s v="Critical"/>
    <s v="Automated Testing"/>
    <n v="770.66"/>
  </r>
  <r>
    <n v="626"/>
    <x v="40"/>
    <s v="Structural"/>
    <s v="4/19/2024"/>
    <s v="Component"/>
    <s v="Minor"/>
    <s v="Visual Inspection"/>
    <n v="289.27"/>
  </r>
  <r>
    <n v="627"/>
    <x v="34"/>
    <s v="Structural"/>
    <s v="5/15/2024"/>
    <s v="Component"/>
    <s v="Minor"/>
    <s v="Automated Testing"/>
    <n v="779.02"/>
  </r>
  <r>
    <n v="628"/>
    <x v="84"/>
    <s v="Structural"/>
    <d v="2024-04-01T00:00:00"/>
    <s v="Surface"/>
    <s v="Moderate"/>
    <s v="Automated Testing"/>
    <n v="704.06"/>
  </r>
  <r>
    <n v="629"/>
    <x v="45"/>
    <s v="Functional"/>
    <s v="4/16/2024"/>
    <s v="Internal"/>
    <s v="Critical"/>
    <s v="Visual Inspection"/>
    <n v="546.41999999999996"/>
  </r>
  <r>
    <n v="630"/>
    <x v="77"/>
    <s v="Functional"/>
    <s v="6/23/2024"/>
    <s v="Component"/>
    <s v="Moderate"/>
    <s v="Visual Inspection"/>
    <n v="780.89"/>
  </r>
  <r>
    <n v="631"/>
    <x v="21"/>
    <s v="Cosmetic"/>
    <d v="2024-03-05T00:00:00"/>
    <s v="Surface"/>
    <s v="Minor"/>
    <s v="Manual Testing"/>
    <n v="303.08"/>
  </r>
  <r>
    <n v="632"/>
    <x v="13"/>
    <s v="Structural"/>
    <d v="2024-04-05T00:00:00"/>
    <s v="Internal"/>
    <s v="Minor"/>
    <s v="Automated Testing"/>
    <n v="557.57000000000005"/>
  </r>
  <r>
    <n v="633"/>
    <x v="17"/>
    <s v="Functional"/>
    <s v="1/28/2024"/>
    <s v="Component"/>
    <s v="Minor"/>
    <s v="Manual Testing"/>
    <n v="222.11"/>
  </r>
  <r>
    <n v="634"/>
    <x v="91"/>
    <s v="Functional"/>
    <s v="5/23/2024"/>
    <s v="Internal"/>
    <s v="Minor"/>
    <s v="Visual Inspection"/>
    <n v="575.47"/>
  </r>
  <r>
    <n v="635"/>
    <x v="23"/>
    <s v="Structural"/>
    <s v="6/14/2024"/>
    <s v="Component"/>
    <s v="Minor"/>
    <s v="Automated Testing"/>
    <n v="478.44"/>
  </r>
  <r>
    <n v="636"/>
    <x v="5"/>
    <s v="Functional"/>
    <d v="2024-05-02T00:00:00"/>
    <s v="Surface"/>
    <s v="Moderate"/>
    <s v="Visual Inspection"/>
    <n v="32.619999999999997"/>
  </r>
  <r>
    <n v="637"/>
    <x v="76"/>
    <s v="Functional"/>
    <s v="5/29/2024"/>
    <s v="Component"/>
    <s v="Critical"/>
    <s v="Automated Testing"/>
    <n v="121.29"/>
  </r>
  <r>
    <n v="638"/>
    <x v="85"/>
    <s v="Cosmetic"/>
    <d v="2024-07-04T00:00:00"/>
    <s v="Component"/>
    <s v="Moderate"/>
    <s v="Automated Testing"/>
    <n v="967.29"/>
  </r>
  <r>
    <n v="639"/>
    <x v="45"/>
    <s v="Cosmetic"/>
    <s v="1/17/2024"/>
    <s v="Surface"/>
    <s v="Moderate"/>
    <s v="Visual Inspection"/>
    <n v="200.29"/>
  </r>
  <r>
    <n v="640"/>
    <x v="44"/>
    <s v="Cosmetic"/>
    <s v="6/21/2024"/>
    <s v="Internal"/>
    <s v="Minor"/>
    <s v="Automated Testing"/>
    <n v="185"/>
  </r>
  <r>
    <n v="641"/>
    <x v="40"/>
    <s v="Functional"/>
    <s v="1/30/2024"/>
    <s v="Internal"/>
    <s v="Moderate"/>
    <s v="Manual Testing"/>
    <n v="959.61"/>
  </r>
  <r>
    <n v="642"/>
    <x v="17"/>
    <s v="Structural"/>
    <s v="1/26/2024"/>
    <s v="Component"/>
    <s v="Critical"/>
    <s v="Visual Inspection"/>
    <n v="170.66"/>
  </r>
  <r>
    <n v="643"/>
    <x v="60"/>
    <s v="Cosmetic"/>
    <s v="6/17/2024"/>
    <s v="Component"/>
    <s v="Minor"/>
    <s v="Visual Inspection"/>
    <n v="563.94000000000005"/>
  </r>
  <r>
    <n v="644"/>
    <x v="27"/>
    <s v="Cosmetic"/>
    <d v="2024-08-06T00:00:00"/>
    <s v="Internal"/>
    <s v="Minor"/>
    <s v="Automated Testing"/>
    <n v="52.03"/>
  </r>
  <r>
    <n v="645"/>
    <x v="20"/>
    <s v="Functional"/>
    <d v="2024-07-06T00:00:00"/>
    <s v="Component"/>
    <s v="Critical"/>
    <s v="Automated Testing"/>
    <n v="474.62"/>
  </r>
  <r>
    <n v="646"/>
    <x v="9"/>
    <s v="Structural"/>
    <s v="1/14/2024"/>
    <s v="Surface"/>
    <s v="Moderate"/>
    <s v="Visual Inspection"/>
    <n v="263.76"/>
  </r>
  <r>
    <n v="647"/>
    <x v="50"/>
    <s v="Cosmetic"/>
    <d v="2024-03-05T00:00:00"/>
    <s v="Component"/>
    <s v="Moderate"/>
    <s v="Automated Testing"/>
    <n v="758.91"/>
  </r>
  <r>
    <n v="648"/>
    <x v="49"/>
    <s v="Cosmetic"/>
    <d v="2024-09-01T00:00:00"/>
    <s v="Component"/>
    <s v="Critical"/>
    <s v="Visual Inspection"/>
    <n v="59.04"/>
  </r>
  <r>
    <n v="649"/>
    <x v="79"/>
    <s v="Cosmetic"/>
    <d v="2024-11-01T00:00:00"/>
    <s v="Internal"/>
    <s v="Moderate"/>
    <s v="Visual Inspection"/>
    <n v="647.01"/>
  </r>
  <r>
    <n v="650"/>
    <x v="96"/>
    <s v="Cosmetic"/>
    <s v="5/21/2024"/>
    <s v="Internal"/>
    <s v="Moderate"/>
    <s v="Manual Testing"/>
    <n v="451.58"/>
  </r>
  <r>
    <n v="651"/>
    <x v="74"/>
    <s v="Structural"/>
    <d v="2024-09-02T00:00:00"/>
    <s v="Internal"/>
    <s v="Minor"/>
    <s v="Manual Testing"/>
    <n v="221.25"/>
  </r>
  <r>
    <n v="652"/>
    <x v="65"/>
    <s v="Cosmetic"/>
    <s v="4/19/2024"/>
    <s v="Component"/>
    <s v="Critical"/>
    <s v="Manual Testing"/>
    <n v="194.9"/>
  </r>
  <r>
    <n v="653"/>
    <x v="41"/>
    <s v="Functional"/>
    <s v="2/29/2024"/>
    <s v="Surface"/>
    <s v="Minor"/>
    <s v="Automated Testing"/>
    <n v="433.75"/>
  </r>
  <r>
    <n v="654"/>
    <x v="11"/>
    <s v="Cosmetic"/>
    <s v="6/19/2024"/>
    <s v="Surface"/>
    <s v="Critical"/>
    <s v="Automated Testing"/>
    <n v="264.85000000000002"/>
  </r>
  <r>
    <n v="655"/>
    <x v="73"/>
    <s v="Cosmetic"/>
    <s v="3/16/2024"/>
    <s v="Surface"/>
    <s v="Moderate"/>
    <s v="Automated Testing"/>
    <n v="230.68"/>
  </r>
  <r>
    <n v="656"/>
    <x v="16"/>
    <s v="Cosmetic"/>
    <s v="6/21/2024"/>
    <s v="Surface"/>
    <s v="Minor"/>
    <s v="Visual Inspection"/>
    <n v="836.11"/>
  </r>
  <r>
    <n v="657"/>
    <x v="43"/>
    <s v="Structural"/>
    <s v="3/27/2024"/>
    <s v="Surface"/>
    <s v="Critical"/>
    <s v="Manual Testing"/>
    <n v="703.94"/>
  </r>
  <r>
    <n v="658"/>
    <x v="91"/>
    <s v="Structural"/>
    <d v="2024-09-06T00:00:00"/>
    <s v="Surface"/>
    <s v="Moderate"/>
    <s v="Visual Inspection"/>
    <n v="814.84"/>
  </r>
  <r>
    <n v="659"/>
    <x v="86"/>
    <s v="Structural"/>
    <s v="1/19/2024"/>
    <s v="Component"/>
    <s v="Minor"/>
    <s v="Visual Inspection"/>
    <n v="153.25"/>
  </r>
  <r>
    <n v="660"/>
    <x v="31"/>
    <s v="Functional"/>
    <s v="3/28/2024"/>
    <s v="Internal"/>
    <s v="Minor"/>
    <s v="Visual Inspection"/>
    <n v="324.08999999999997"/>
  </r>
  <r>
    <n v="661"/>
    <x v="28"/>
    <s v="Structural"/>
    <d v="2024-06-02T00:00:00"/>
    <s v="Component"/>
    <s v="Moderate"/>
    <s v="Visual Inspection"/>
    <n v="436.9"/>
  </r>
  <r>
    <n v="662"/>
    <x v="52"/>
    <s v="Cosmetic"/>
    <s v="6/17/2024"/>
    <s v="Surface"/>
    <s v="Minor"/>
    <s v="Manual Testing"/>
    <n v="917.26"/>
  </r>
  <r>
    <n v="663"/>
    <x v="26"/>
    <s v="Cosmetic"/>
    <s v="1/13/2024"/>
    <s v="Component"/>
    <s v="Critical"/>
    <s v="Automated Testing"/>
    <n v="45.26"/>
  </r>
  <r>
    <n v="664"/>
    <x v="87"/>
    <s v="Functional"/>
    <s v="1/26/2024"/>
    <s v="Surface"/>
    <s v="Critical"/>
    <s v="Visual Inspection"/>
    <n v="416.2"/>
  </r>
  <r>
    <n v="665"/>
    <x v="99"/>
    <s v="Functional"/>
    <s v="5/16/2024"/>
    <s v="Component"/>
    <s v="Minor"/>
    <s v="Manual Testing"/>
    <n v="246.83"/>
  </r>
  <r>
    <n v="666"/>
    <x v="10"/>
    <s v="Structural"/>
    <d v="2024-03-01T00:00:00"/>
    <s v="Component"/>
    <s v="Critical"/>
    <s v="Visual Inspection"/>
    <n v="824.28"/>
  </r>
  <r>
    <n v="667"/>
    <x v="31"/>
    <s v="Cosmetic"/>
    <d v="2024-02-06T00:00:00"/>
    <s v="Surface"/>
    <s v="Minor"/>
    <s v="Visual Inspection"/>
    <n v="680.74"/>
  </r>
  <r>
    <n v="668"/>
    <x v="20"/>
    <s v="Structural"/>
    <s v="2/26/2024"/>
    <s v="Surface"/>
    <s v="Critical"/>
    <s v="Automated Testing"/>
    <n v="376.62"/>
  </r>
  <r>
    <n v="669"/>
    <x v="25"/>
    <s v="Functional"/>
    <d v="2024-10-01T00:00:00"/>
    <s v="Surface"/>
    <s v="Moderate"/>
    <s v="Manual Testing"/>
    <n v="400.79"/>
  </r>
  <r>
    <n v="670"/>
    <x v="0"/>
    <s v="Structural"/>
    <s v="2/19/2024"/>
    <s v="Component"/>
    <s v="Critical"/>
    <s v="Visual Inspection"/>
    <n v="496.72"/>
  </r>
  <r>
    <n v="671"/>
    <x v="10"/>
    <s v="Structural"/>
    <s v="4/21/2024"/>
    <s v="Component"/>
    <s v="Moderate"/>
    <s v="Manual Testing"/>
    <n v="369.13"/>
  </r>
  <r>
    <n v="672"/>
    <x v="94"/>
    <s v="Functional"/>
    <s v="5/19/2024"/>
    <s v="Internal"/>
    <s v="Moderate"/>
    <s v="Automated Testing"/>
    <n v="916.45"/>
  </r>
  <r>
    <n v="673"/>
    <x v="16"/>
    <s v="Functional"/>
    <d v="2024-01-05T00:00:00"/>
    <s v="Internal"/>
    <s v="Minor"/>
    <s v="Visual Inspection"/>
    <n v="152.08000000000001"/>
  </r>
  <r>
    <n v="674"/>
    <x v="16"/>
    <s v="Structural"/>
    <d v="2024-06-01T00:00:00"/>
    <s v="Surface"/>
    <s v="Moderate"/>
    <s v="Visual Inspection"/>
    <n v="373.52"/>
  </r>
  <r>
    <n v="675"/>
    <x v="71"/>
    <s v="Cosmetic"/>
    <d v="2024-12-05T00:00:00"/>
    <s v="Surface"/>
    <s v="Critical"/>
    <s v="Visual Inspection"/>
    <n v="345.64"/>
  </r>
  <r>
    <n v="676"/>
    <x v="75"/>
    <s v="Cosmetic"/>
    <d v="2024-06-04T00:00:00"/>
    <s v="Internal"/>
    <s v="Critical"/>
    <s v="Visual Inspection"/>
    <n v="33.950000000000003"/>
  </r>
  <r>
    <n v="677"/>
    <x v="47"/>
    <s v="Structural"/>
    <d v="2024-04-01T00:00:00"/>
    <s v="Component"/>
    <s v="Critical"/>
    <s v="Visual Inspection"/>
    <n v="478.44"/>
  </r>
  <r>
    <n v="678"/>
    <x v="93"/>
    <s v="Functional"/>
    <s v="3/20/2024"/>
    <s v="Component"/>
    <s v="Critical"/>
    <s v="Manual Testing"/>
    <n v="884.03"/>
  </r>
  <r>
    <n v="679"/>
    <x v="69"/>
    <s v="Structural"/>
    <s v="1/23/2024"/>
    <s v="Internal"/>
    <s v="Critical"/>
    <s v="Visual Inspection"/>
    <n v="113.64"/>
  </r>
  <r>
    <n v="680"/>
    <x v="44"/>
    <s v="Structural"/>
    <s v="1/19/2024"/>
    <s v="Component"/>
    <s v="Moderate"/>
    <s v="Visual Inspection"/>
    <n v="479.38"/>
  </r>
  <r>
    <n v="681"/>
    <x v="59"/>
    <s v="Structural"/>
    <s v="1/16/2024"/>
    <s v="Internal"/>
    <s v="Critical"/>
    <s v="Visual Inspection"/>
    <n v="395.56"/>
  </r>
  <r>
    <n v="682"/>
    <x v="1"/>
    <s v="Structural"/>
    <s v="1/13/2024"/>
    <s v="Component"/>
    <s v="Moderate"/>
    <s v="Manual Testing"/>
    <n v="290.66000000000003"/>
  </r>
  <r>
    <n v="683"/>
    <x v="78"/>
    <s v="Cosmetic"/>
    <s v="2/25/2024"/>
    <s v="Component"/>
    <s v="Minor"/>
    <s v="Visual Inspection"/>
    <n v="309.32"/>
  </r>
  <r>
    <n v="684"/>
    <x v="20"/>
    <s v="Structural"/>
    <s v="3/16/2024"/>
    <s v="Component"/>
    <s v="Moderate"/>
    <s v="Manual Testing"/>
    <n v="28.05"/>
  </r>
  <r>
    <n v="685"/>
    <x v="95"/>
    <s v="Structural"/>
    <s v="6/24/2024"/>
    <s v="Surface"/>
    <s v="Critical"/>
    <s v="Visual Inspection"/>
    <n v="37.69"/>
  </r>
  <r>
    <n v="686"/>
    <x v="52"/>
    <s v="Cosmetic"/>
    <s v="1/23/2024"/>
    <s v="Internal"/>
    <s v="Critical"/>
    <s v="Automated Testing"/>
    <n v="293.44"/>
  </r>
  <r>
    <n v="687"/>
    <x v="66"/>
    <s v="Functional"/>
    <s v="3/16/2024"/>
    <s v="Component"/>
    <s v="Minor"/>
    <s v="Visual Inspection"/>
    <n v="249.02"/>
  </r>
  <r>
    <n v="688"/>
    <x v="38"/>
    <s v="Structural"/>
    <s v="2/18/2024"/>
    <s v="Surface"/>
    <s v="Minor"/>
    <s v="Manual Testing"/>
    <n v="327.88"/>
  </r>
  <r>
    <n v="689"/>
    <x v="58"/>
    <s v="Cosmetic"/>
    <d v="2024-09-03T00:00:00"/>
    <s v="Surface"/>
    <s v="Critical"/>
    <s v="Manual Testing"/>
    <n v="749.31"/>
  </r>
  <r>
    <n v="690"/>
    <x v="71"/>
    <s v="Cosmetic"/>
    <s v="5/26/2024"/>
    <s v="Component"/>
    <s v="Minor"/>
    <s v="Automated Testing"/>
    <n v="19.23"/>
  </r>
  <r>
    <n v="691"/>
    <x v="75"/>
    <s v="Functional"/>
    <s v="5/31/2024"/>
    <s v="Internal"/>
    <s v="Critical"/>
    <s v="Manual Testing"/>
    <n v="470.43"/>
  </r>
  <r>
    <n v="692"/>
    <x v="19"/>
    <s v="Cosmetic"/>
    <s v="2/18/2024"/>
    <s v="Component"/>
    <s v="Critical"/>
    <s v="Automated Testing"/>
    <n v="135.49"/>
  </r>
  <r>
    <n v="693"/>
    <x v="77"/>
    <s v="Structural"/>
    <s v="6/26/2024"/>
    <s v="Component"/>
    <s v="Minor"/>
    <s v="Manual Testing"/>
    <n v="531.4"/>
  </r>
  <r>
    <n v="694"/>
    <x v="78"/>
    <s v="Cosmetic"/>
    <s v="2/16/2024"/>
    <s v="Surface"/>
    <s v="Critical"/>
    <s v="Manual Testing"/>
    <n v="205.83"/>
  </r>
  <r>
    <n v="695"/>
    <x v="62"/>
    <s v="Cosmetic"/>
    <s v="4/20/2024"/>
    <s v="Component"/>
    <s v="Moderate"/>
    <s v="Visual Inspection"/>
    <n v="547.02"/>
  </r>
  <r>
    <n v="696"/>
    <x v="2"/>
    <s v="Functional"/>
    <d v="2024-06-01T00:00:00"/>
    <s v="Component"/>
    <s v="Moderate"/>
    <s v="Visual Inspection"/>
    <n v="459.29"/>
  </r>
  <r>
    <n v="697"/>
    <x v="30"/>
    <s v="Cosmetic"/>
    <d v="2024-02-04T00:00:00"/>
    <s v="Surface"/>
    <s v="Critical"/>
    <s v="Manual Testing"/>
    <n v="762.32"/>
  </r>
  <r>
    <n v="698"/>
    <x v="74"/>
    <s v="Cosmetic"/>
    <s v="3/29/2024"/>
    <s v="Component"/>
    <s v="Moderate"/>
    <s v="Visual Inspection"/>
    <n v="684.85"/>
  </r>
  <r>
    <n v="699"/>
    <x v="61"/>
    <s v="Cosmetic"/>
    <d v="2024-04-04T00:00:00"/>
    <s v="Component"/>
    <s v="Critical"/>
    <s v="Automated Testing"/>
    <n v="940.9"/>
  </r>
  <r>
    <n v="700"/>
    <x v="70"/>
    <s v="Cosmetic"/>
    <s v="2/13/2024"/>
    <s v="Surface"/>
    <s v="Minor"/>
    <s v="Manual Testing"/>
    <n v="894.66"/>
  </r>
  <r>
    <n v="701"/>
    <x v="19"/>
    <s v="Functional"/>
    <s v="3/30/2024"/>
    <s v="Component"/>
    <s v="Minor"/>
    <s v="Manual Testing"/>
    <n v="10.44"/>
  </r>
  <r>
    <n v="702"/>
    <x v="45"/>
    <s v="Cosmetic"/>
    <s v="4/20/2024"/>
    <s v="Component"/>
    <s v="Minor"/>
    <s v="Visual Inspection"/>
    <n v="878.23"/>
  </r>
  <r>
    <n v="703"/>
    <x v="74"/>
    <s v="Structural"/>
    <s v="1/31/2024"/>
    <s v="Internal"/>
    <s v="Minor"/>
    <s v="Automated Testing"/>
    <n v="164.64"/>
  </r>
  <r>
    <n v="704"/>
    <x v="40"/>
    <s v="Structural"/>
    <d v="2024-02-02T00:00:00"/>
    <s v="Internal"/>
    <s v="Critical"/>
    <s v="Visual Inspection"/>
    <n v="132.46"/>
  </r>
  <r>
    <n v="705"/>
    <x v="88"/>
    <s v="Functional"/>
    <d v="2024-03-02T00:00:00"/>
    <s v="Internal"/>
    <s v="Moderate"/>
    <s v="Automated Testing"/>
    <n v="789.51"/>
  </r>
  <r>
    <n v="706"/>
    <x v="90"/>
    <s v="Functional"/>
    <s v="5/24/2024"/>
    <s v="Component"/>
    <s v="Moderate"/>
    <s v="Visual Inspection"/>
    <n v="969.4"/>
  </r>
  <r>
    <n v="707"/>
    <x v="11"/>
    <s v="Functional"/>
    <s v="3/14/2024"/>
    <s v="Surface"/>
    <s v="Critical"/>
    <s v="Automated Testing"/>
    <n v="667.18"/>
  </r>
  <r>
    <n v="708"/>
    <x v="48"/>
    <s v="Functional"/>
    <d v="2024-09-04T00:00:00"/>
    <s v="Component"/>
    <s v="Minor"/>
    <s v="Manual Testing"/>
    <n v="781.35"/>
  </r>
  <r>
    <n v="709"/>
    <x v="37"/>
    <s v="Functional"/>
    <d v="2024-10-03T00:00:00"/>
    <s v="Component"/>
    <s v="Minor"/>
    <s v="Automated Testing"/>
    <n v="711.6"/>
  </r>
  <r>
    <n v="710"/>
    <x v="75"/>
    <s v="Cosmetic"/>
    <s v="6/26/2024"/>
    <s v="Surface"/>
    <s v="Moderate"/>
    <s v="Visual Inspection"/>
    <n v="91.9"/>
  </r>
  <r>
    <n v="711"/>
    <x v="36"/>
    <s v="Cosmetic"/>
    <s v="5/28/2024"/>
    <s v="Internal"/>
    <s v="Minor"/>
    <s v="Manual Testing"/>
    <n v="767.74"/>
  </r>
  <r>
    <n v="712"/>
    <x v="14"/>
    <s v="Structural"/>
    <s v="3/30/2024"/>
    <s v="Surface"/>
    <s v="Minor"/>
    <s v="Visual Inspection"/>
    <n v="535.88"/>
  </r>
  <r>
    <n v="713"/>
    <x v="36"/>
    <s v="Structural"/>
    <s v="2/29/2024"/>
    <s v="Internal"/>
    <s v="Critical"/>
    <s v="Automated Testing"/>
    <n v="390.43"/>
  </r>
  <r>
    <n v="714"/>
    <x v="65"/>
    <s v="Cosmetic"/>
    <d v="2024-04-06T00:00:00"/>
    <s v="Component"/>
    <s v="Minor"/>
    <s v="Visual Inspection"/>
    <n v="932.34"/>
  </r>
  <r>
    <n v="715"/>
    <x v="60"/>
    <s v="Functional"/>
    <s v="4/21/2024"/>
    <s v="Surface"/>
    <s v="Moderate"/>
    <s v="Manual Testing"/>
    <n v="763.5"/>
  </r>
  <r>
    <n v="716"/>
    <x v="11"/>
    <s v="Structural"/>
    <d v="2024-05-04T00:00:00"/>
    <s v="Surface"/>
    <s v="Minor"/>
    <s v="Visual Inspection"/>
    <n v="438.58"/>
  </r>
  <r>
    <n v="717"/>
    <x v="2"/>
    <s v="Cosmetic"/>
    <d v="2024-01-01T00:00:00"/>
    <s v="Internal"/>
    <s v="Minor"/>
    <s v="Manual Testing"/>
    <n v="147.94"/>
  </r>
  <r>
    <n v="718"/>
    <x v="20"/>
    <s v="Cosmetic"/>
    <d v="2024-11-03T00:00:00"/>
    <s v="Internal"/>
    <s v="Minor"/>
    <s v="Automated Testing"/>
    <n v="967.35"/>
  </r>
  <r>
    <n v="719"/>
    <x v="78"/>
    <s v="Cosmetic"/>
    <d v="2024-04-04T00:00:00"/>
    <s v="Internal"/>
    <s v="Minor"/>
    <s v="Manual Testing"/>
    <n v="909.42"/>
  </r>
  <r>
    <n v="720"/>
    <x v="72"/>
    <s v="Functional"/>
    <d v="2024-02-02T00:00:00"/>
    <s v="Internal"/>
    <s v="Moderate"/>
    <s v="Manual Testing"/>
    <n v="617.24"/>
  </r>
  <r>
    <n v="721"/>
    <x v="63"/>
    <s v="Cosmetic"/>
    <s v="4/26/2024"/>
    <s v="Component"/>
    <s v="Moderate"/>
    <s v="Manual Testing"/>
    <n v="552"/>
  </r>
  <r>
    <n v="722"/>
    <x v="79"/>
    <s v="Structural"/>
    <d v="2024-10-03T00:00:00"/>
    <s v="Internal"/>
    <s v="Minor"/>
    <s v="Manual Testing"/>
    <n v="746.64"/>
  </r>
  <r>
    <n v="723"/>
    <x v="26"/>
    <s v="Structural"/>
    <s v="1/27/2024"/>
    <s v="Internal"/>
    <s v="Critical"/>
    <s v="Visual Inspection"/>
    <n v="133.43"/>
  </r>
  <r>
    <n v="724"/>
    <x v="27"/>
    <s v="Structural"/>
    <s v="2/21/2024"/>
    <s v="Surface"/>
    <s v="Moderate"/>
    <s v="Manual Testing"/>
    <n v="437.82"/>
  </r>
  <r>
    <n v="725"/>
    <x v="0"/>
    <s v="Cosmetic"/>
    <s v="3/27/2024"/>
    <s v="Surface"/>
    <s v="Minor"/>
    <s v="Visual Inspection"/>
    <n v="713.29"/>
  </r>
  <r>
    <n v="726"/>
    <x v="34"/>
    <s v="Cosmetic"/>
    <s v="2/25/2024"/>
    <s v="Surface"/>
    <s v="Critical"/>
    <s v="Automated Testing"/>
    <n v="321.04000000000002"/>
  </r>
  <r>
    <n v="727"/>
    <x v="32"/>
    <s v="Functional"/>
    <d v="2024-12-01T00:00:00"/>
    <s v="Surface"/>
    <s v="Minor"/>
    <s v="Automated Testing"/>
    <n v="988.41"/>
  </r>
  <r>
    <n v="728"/>
    <x v="44"/>
    <s v="Structural"/>
    <d v="2024-10-01T00:00:00"/>
    <s v="Component"/>
    <s v="Critical"/>
    <s v="Manual Testing"/>
    <n v="164.56"/>
  </r>
  <r>
    <n v="729"/>
    <x v="14"/>
    <s v="Structural"/>
    <s v="2/28/2024"/>
    <s v="Component"/>
    <s v="Moderate"/>
    <s v="Manual Testing"/>
    <n v="357.07"/>
  </r>
  <r>
    <n v="730"/>
    <x v="49"/>
    <s v="Structural"/>
    <s v="3/19/2024"/>
    <s v="Surface"/>
    <s v="Minor"/>
    <s v="Automated Testing"/>
    <n v="189.23"/>
  </r>
  <r>
    <n v="731"/>
    <x v="90"/>
    <s v="Cosmetic"/>
    <s v="5/30/2024"/>
    <s v="Component"/>
    <s v="Moderate"/>
    <s v="Manual Testing"/>
    <n v="840.24"/>
  </r>
  <r>
    <n v="732"/>
    <x v="63"/>
    <s v="Structural"/>
    <s v="2/21/2024"/>
    <s v="Internal"/>
    <s v="Minor"/>
    <s v="Automated Testing"/>
    <n v="630.5"/>
  </r>
  <r>
    <n v="733"/>
    <x v="17"/>
    <s v="Functional"/>
    <d v="2024-06-02T00:00:00"/>
    <s v="Surface"/>
    <s v="Moderate"/>
    <s v="Manual Testing"/>
    <n v="584.54"/>
  </r>
  <r>
    <n v="734"/>
    <x v="6"/>
    <s v="Functional"/>
    <s v="2/16/2024"/>
    <s v="Surface"/>
    <s v="Moderate"/>
    <s v="Automated Testing"/>
    <n v="995.47"/>
  </r>
  <r>
    <n v="735"/>
    <x v="23"/>
    <s v="Structural"/>
    <d v="2024-12-02T00:00:00"/>
    <s v="Surface"/>
    <s v="Critical"/>
    <s v="Manual Testing"/>
    <n v="894.31"/>
  </r>
  <r>
    <n v="736"/>
    <x v="16"/>
    <s v="Functional"/>
    <s v="1/21/2024"/>
    <s v="Component"/>
    <s v="Minor"/>
    <s v="Automated Testing"/>
    <n v="420.57"/>
  </r>
  <r>
    <n v="737"/>
    <x v="92"/>
    <s v="Structural"/>
    <s v="4/14/2024"/>
    <s v="Component"/>
    <s v="Moderate"/>
    <s v="Visual Inspection"/>
    <n v="71.86"/>
  </r>
  <r>
    <n v="738"/>
    <x v="18"/>
    <s v="Structural"/>
    <d v="2024-04-05T00:00:00"/>
    <s v="Internal"/>
    <s v="Minor"/>
    <s v="Manual Testing"/>
    <n v="895.96"/>
  </r>
  <r>
    <n v="739"/>
    <x v="56"/>
    <s v="Cosmetic"/>
    <d v="2024-04-02T00:00:00"/>
    <s v="Component"/>
    <s v="Moderate"/>
    <s v="Manual Testing"/>
    <n v="491.28"/>
  </r>
  <r>
    <n v="740"/>
    <x v="37"/>
    <s v="Functional"/>
    <s v="4/23/2024"/>
    <s v="Internal"/>
    <s v="Moderate"/>
    <s v="Manual Testing"/>
    <n v="63.99"/>
  </r>
  <r>
    <n v="741"/>
    <x v="73"/>
    <s v="Cosmetic"/>
    <d v="2024-06-04T00:00:00"/>
    <s v="Internal"/>
    <s v="Minor"/>
    <s v="Visual Inspection"/>
    <n v="409.99"/>
  </r>
  <r>
    <n v="742"/>
    <x v="30"/>
    <s v="Cosmetic"/>
    <d v="2024-06-01T00:00:00"/>
    <s v="Internal"/>
    <s v="Critical"/>
    <s v="Automated Testing"/>
    <n v="391.78"/>
  </r>
  <r>
    <n v="743"/>
    <x v="60"/>
    <s v="Cosmetic"/>
    <s v="1/24/2024"/>
    <s v="Internal"/>
    <s v="Minor"/>
    <s v="Manual Testing"/>
    <n v="921.78"/>
  </r>
  <r>
    <n v="744"/>
    <x v="8"/>
    <s v="Cosmetic"/>
    <d v="2024-10-06T00:00:00"/>
    <s v="Component"/>
    <s v="Minor"/>
    <s v="Manual Testing"/>
    <n v="789.34"/>
  </r>
  <r>
    <n v="745"/>
    <x v="62"/>
    <s v="Cosmetic"/>
    <d v="2024-08-05T00:00:00"/>
    <s v="Internal"/>
    <s v="Moderate"/>
    <s v="Visual Inspection"/>
    <n v="862.7"/>
  </r>
  <r>
    <n v="746"/>
    <x v="57"/>
    <s v="Structural"/>
    <d v="2024-09-02T00:00:00"/>
    <s v="Component"/>
    <s v="Minor"/>
    <s v="Manual Testing"/>
    <n v="395.02"/>
  </r>
  <r>
    <n v="747"/>
    <x v="46"/>
    <s v="Cosmetic"/>
    <d v="2024-03-03T00:00:00"/>
    <s v="Surface"/>
    <s v="Minor"/>
    <s v="Visual Inspection"/>
    <n v="507.39"/>
  </r>
  <r>
    <n v="748"/>
    <x v="70"/>
    <s v="Cosmetic"/>
    <s v="2/14/2024"/>
    <s v="Internal"/>
    <s v="Moderate"/>
    <s v="Manual Testing"/>
    <n v="990.02"/>
  </r>
  <r>
    <n v="749"/>
    <x v="35"/>
    <s v="Functional"/>
    <s v="6/17/2024"/>
    <s v="Component"/>
    <s v="Minor"/>
    <s v="Visual Inspection"/>
    <n v="466.97"/>
  </r>
  <r>
    <n v="750"/>
    <x v="39"/>
    <s v="Functional"/>
    <s v="3/23/2024"/>
    <s v="Surface"/>
    <s v="Moderate"/>
    <s v="Manual Testing"/>
    <n v="49.52"/>
  </r>
  <r>
    <n v="751"/>
    <x v="24"/>
    <s v="Functional"/>
    <s v="1/14/2024"/>
    <s v="Component"/>
    <s v="Minor"/>
    <s v="Manual Testing"/>
    <n v="543.92999999999995"/>
  </r>
  <r>
    <n v="752"/>
    <x v="18"/>
    <s v="Functional"/>
    <d v="2024-12-05T00:00:00"/>
    <s v="Surface"/>
    <s v="Moderate"/>
    <s v="Automated Testing"/>
    <n v="688.91"/>
  </r>
  <r>
    <n v="753"/>
    <x v="64"/>
    <s v="Cosmetic"/>
    <d v="2024-08-01T00:00:00"/>
    <s v="Surface"/>
    <s v="Critical"/>
    <s v="Visual Inspection"/>
    <n v="140.96"/>
  </r>
  <r>
    <n v="754"/>
    <x v="5"/>
    <s v="Structural"/>
    <s v="1/13/2024"/>
    <s v="Component"/>
    <s v="Minor"/>
    <s v="Manual Testing"/>
    <n v="624.69000000000005"/>
  </r>
  <r>
    <n v="755"/>
    <x v="7"/>
    <s v="Cosmetic"/>
    <d v="2024-01-01T00:00:00"/>
    <s v="Component"/>
    <s v="Critical"/>
    <s v="Manual Testing"/>
    <n v="317.5"/>
  </r>
  <r>
    <n v="756"/>
    <x v="72"/>
    <s v="Functional"/>
    <d v="2024-12-06T00:00:00"/>
    <s v="Component"/>
    <s v="Minor"/>
    <s v="Manual Testing"/>
    <n v="363.84"/>
  </r>
  <r>
    <n v="757"/>
    <x v="95"/>
    <s v="Functional"/>
    <s v="3/17/2024"/>
    <s v="Surface"/>
    <s v="Moderate"/>
    <s v="Manual Testing"/>
    <n v="472.15"/>
  </r>
  <r>
    <n v="758"/>
    <x v="31"/>
    <s v="Cosmetic"/>
    <s v="1/22/2024"/>
    <s v="Internal"/>
    <s v="Moderate"/>
    <s v="Automated Testing"/>
    <n v="765.19"/>
  </r>
  <r>
    <n v="759"/>
    <x v="95"/>
    <s v="Cosmetic"/>
    <s v="3/23/2024"/>
    <s v="Surface"/>
    <s v="Moderate"/>
    <s v="Manual Testing"/>
    <n v="551.79"/>
  </r>
  <r>
    <n v="760"/>
    <x v="49"/>
    <s v="Structural"/>
    <s v="6/22/2024"/>
    <s v="Surface"/>
    <s v="Critical"/>
    <s v="Manual Testing"/>
    <n v="950.2"/>
  </r>
  <r>
    <n v="761"/>
    <x v="19"/>
    <s v="Functional"/>
    <d v="2024-05-01T00:00:00"/>
    <s v="Component"/>
    <s v="Critical"/>
    <s v="Automated Testing"/>
    <n v="749.01"/>
  </r>
  <r>
    <n v="762"/>
    <x v="60"/>
    <s v="Cosmetic"/>
    <s v="2/15/2024"/>
    <s v="Internal"/>
    <s v="Critical"/>
    <s v="Manual Testing"/>
    <n v="917.24"/>
  </r>
  <r>
    <n v="763"/>
    <x v="63"/>
    <s v="Cosmetic"/>
    <s v="4/24/2024"/>
    <s v="Component"/>
    <s v="Minor"/>
    <s v="Automated Testing"/>
    <n v="527.76"/>
  </r>
  <r>
    <n v="764"/>
    <x v="95"/>
    <s v="Structural"/>
    <s v="4/26/2024"/>
    <s v="Internal"/>
    <s v="Minor"/>
    <s v="Visual Inspection"/>
    <n v="615.24"/>
  </r>
  <r>
    <n v="765"/>
    <x v="55"/>
    <s v="Structural"/>
    <s v="4/26/2024"/>
    <s v="Component"/>
    <s v="Minor"/>
    <s v="Visual Inspection"/>
    <n v="610.26"/>
  </r>
  <r>
    <n v="766"/>
    <x v="33"/>
    <s v="Cosmetic"/>
    <d v="2024-06-04T00:00:00"/>
    <s v="Component"/>
    <s v="Moderate"/>
    <s v="Visual Inspection"/>
    <n v="305.36"/>
  </r>
  <r>
    <n v="767"/>
    <x v="18"/>
    <s v="Structural"/>
    <s v="3/23/2024"/>
    <s v="Component"/>
    <s v="Minor"/>
    <s v="Automated Testing"/>
    <n v="753.7"/>
  </r>
  <r>
    <n v="768"/>
    <x v="28"/>
    <s v="Cosmetic"/>
    <d v="2024-09-01T00:00:00"/>
    <s v="Internal"/>
    <s v="Moderate"/>
    <s v="Visual Inspection"/>
    <n v="67.489999999999995"/>
  </r>
  <r>
    <n v="769"/>
    <x v="64"/>
    <s v="Structural"/>
    <s v="6/26/2024"/>
    <s v="Component"/>
    <s v="Minor"/>
    <s v="Visual Inspection"/>
    <n v="655.26"/>
  </r>
  <r>
    <n v="770"/>
    <x v="58"/>
    <s v="Structural"/>
    <s v="4/24/2024"/>
    <s v="Surface"/>
    <s v="Moderate"/>
    <s v="Visual Inspection"/>
    <n v="119.28"/>
  </r>
  <r>
    <n v="771"/>
    <x v="62"/>
    <s v="Structural"/>
    <s v="1/13/2024"/>
    <s v="Internal"/>
    <s v="Critical"/>
    <s v="Manual Testing"/>
    <n v="617.35"/>
  </r>
  <r>
    <n v="772"/>
    <x v="61"/>
    <s v="Cosmetic"/>
    <d v="2024-11-06T00:00:00"/>
    <s v="Surface"/>
    <s v="Critical"/>
    <s v="Manual Testing"/>
    <n v="514.52"/>
  </r>
  <r>
    <n v="773"/>
    <x v="89"/>
    <s v="Functional"/>
    <s v="3/30/2024"/>
    <s v="Component"/>
    <s v="Minor"/>
    <s v="Automated Testing"/>
    <n v="552.29999999999995"/>
  </r>
  <r>
    <n v="774"/>
    <x v="52"/>
    <s v="Structural"/>
    <s v="3/17/2024"/>
    <s v="Surface"/>
    <s v="Critical"/>
    <s v="Manual Testing"/>
    <n v="957.27"/>
  </r>
  <r>
    <n v="775"/>
    <x v="48"/>
    <s v="Cosmetic"/>
    <s v="5/16/2024"/>
    <s v="Surface"/>
    <s v="Minor"/>
    <s v="Visual Inspection"/>
    <n v="379.78"/>
  </r>
  <r>
    <n v="776"/>
    <x v="90"/>
    <s v="Structural"/>
    <d v="2024-02-05T00:00:00"/>
    <s v="Surface"/>
    <s v="Minor"/>
    <s v="Automated Testing"/>
    <n v="20.93"/>
  </r>
  <r>
    <n v="777"/>
    <x v="82"/>
    <s v="Functional"/>
    <s v="5/31/2024"/>
    <s v="Component"/>
    <s v="Moderate"/>
    <s v="Visual Inspection"/>
    <n v="698.16"/>
  </r>
  <r>
    <n v="778"/>
    <x v="49"/>
    <s v="Functional"/>
    <s v="1/16/2024"/>
    <s v="Component"/>
    <s v="Critical"/>
    <s v="Manual Testing"/>
    <n v="270.7"/>
  </r>
  <r>
    <n v="779"/>
    <x v="51"/>
    <s v="Structural"/>
    <s v="3/24/2024"/>
    <s v="Internal"/>
    <s v="Critical"/>
    <s v="Manual Testing"/>
    <n v="733.76"/>
  </r>
  <r>
    <n v="780"/>
    <x v="18"/>
    <s v="Functional"/>
    <d v="2024-05-02T00:00:00"/>
    <s v="Surface"/>
    <s v="Minor"/>
    <s v="Manual Testing"/>
    <n v="918.81"/>
  </r>
  <r>
    <n v="781"/>
    <x v="3"/>
    <s v="Cosmetic"/>
    <s v="5/30/2024"/>
    <s v="Component"/>
    <s v="Minor"/>
    <s v="Manual Testing"/>
    <n v="830.39"/>
  </r>
  <r>
    <n v="782"/>
    <x v="32"/>
    <s v="Functional"/>
    <d v="2024-04-04T00:00:00"/>
    <s v="Internal"/>
    <s v="Moderate"/>
    <s v="Visual Inspection"/>
    <n v="429.08"/>
  </r>
  <r>
    <n v="783"/>
    <x v="43"/>
    <s v="Cosmetic"/>
    <d v="2024-09-04T00:00:00"/>
    <s v="Internal"/>
    <s v="Moderate"/>
    <s v="Automated Testing"/>
    <n v="800.91"/>
  </r>
  <r>
    <n v="784"/>
    <x v="47"/>
    <s v="Functional"/>
    <s v="3/30/2024"/>
    <s v="Surface"/>
    <s v="Moderate"/>
    <s v="Automated Testing"/>
    <n v="36.5"/>
  </r>
  <r>
    <n v="785"/>
    <x v="16"/>
    <s v="Cosmetic"/>
    <d v="2024-07-04T00:00:00"/>
    <s v="Surface"/>
    <s v="Moderate"/>
    <s v="Visual Inspection"/>
    <n v="861.84"/>
  </r>
  <r>
    <n v="786"/>
    <x v="88"/>
    <s v="Cosmetic"/>
    <s v="6/24/2024"/>
    <s v="Surface"/>
    <s v="Minor"/>
    <s v="Automated Testing"/>
    <n v="947.21"/>
  </r>
  <r>
    <n v="787"/>
    <x v="36"/>
    <s v="Functional"/>
    <s v="1/23/2024"/>
    <s v="Surface"/>
    <s v="Minor"/>
    <s v="Manual Testing"/>
    <n v="37.44"/>
  </r>
  <r>
    <n v="788"/>
    <x v="70"/>
    <s v="Structural"/>
    <s v="1/25/2024"/>
    <s v="Component"/>
    <s v="Critical"/>
    <s v="Automated Testing"/>
    <n v="571.65"/>
  </r>
  <r>
    <n v="789"/>
    <x v="88"/>
    <s v="Structural"/>
    <s v="1/21/2024"/>
    <s v="Surface"/>
    <s v="Minor"/>
    <s v="Automated Testing"/>
    <n v="331.32"/>
  </r>
  <r>
    <n v="790"/>
    <x v="25"/>
    <s v="Structural"/>
    <d v="2024-10-03T00:00:00"/>
    <s v="Internal"/>
    <s v="Critical"/>
    <s v="Manual Testing"/>
    <n v="212.4"/>
  </r>
  <r>
    <n v="791"/>
    <x v="91"/>
    <s v="Functional"/>
    <s v="4/15/2024"/>
    <s v="Surface"/>
    <s v="Minor"/>
    <s v="Automated Testing"/>
    <n v="451.46"/>
  </r>
  <r>
    <n v="792"/>
    <x v="66"/>
    <s v="Functional"/>
    <d v="2024-05-03T00:00:00"/>
    <s v="Internal"/>
    <s v="Minor"/>
    <s v="Manual Testing"/>
    <n v="948.05"/>
  </r>
  <r>
    <n v="793"/>
    <x v="37"/>
    <s v="Functional"/>
    <d v="2024-07-05T00:00:00"/>
    <s v="Component"/>
    <s v="Moderate"/>
    <s v="Visual Inspection"/>
    <n v="111.39"/>
  </r>
  <r>
    <n v="794"/>
    <x v="18"/>
    <s v="Structural"/>
    <s v="3/21/2024"/>
    <s v="Internal"/>
    <s v="Critical"/>
    <s v="Automated Testing"/>
    <n v="281.41000000000003"/>
  </r>
  <r>
    <n v="795"/>
    <x v="64"/>
    <s v="Structural"/>
    <d v="2024-08-03T00:00:00"/>
    <s v="Internal"/>
    <s v="Minor"/>
    <s v="Automated Testing"/>
    <n v="866.14"/>
  </r>
  <r>
    <n v="796"/>
    <x v="64"/>
    <s v="Structural"/>
    <d v="2024-08-05T00:00:00"/>
    <s v="Component"/>
    <s v="Minor"/>
    <s v="Visual Inspection"/>
    <n v="545.23"/>
  </r>
  <r>
    <n v="797"/>
    <x v="41"/>
    <s v="Cosmetic"/>
    <d v="2024-09-06T00:00:00"/>
    <s v="Surface"/>
    <s v="Moderate"/>
    <s v="Visual Inspection"/>
    <n v="545.72"/>
  </r>
  <r>
    <n v="798"/>
    <x v="72"/>
    <s v="Functional"/>
    <d v="2024-10-05T00:00:00"/>
    <s v="Component"/>
    <s v="Critical"/>
    <s v="Visual Inspection"/>
    <n v="395.56"/>
  </r>
  <r>
    <n v="799"/>
    <x v="12"/>
    <s v="Structural"/>
    <d v="2024-08-06T00:00:00"/>
    <s v="Component"/>
    <s v="Moderate"/>
    <s v="Manual Testing"/>
    <n v="914.5"/>
  </r>
  <r>
    <n v="800"/>
    <x v="83"/>
    <s v="Cosmetic"/>
    <s v="5/30/2024"/>
    <s v="Internal"/>
    <s v="Minor"/>
    <s v="Automated Testing"/>
    <n v="339.94"/>
  </r>
  <r>
    <n v="801"/>
    <x v="72"/>
    <s v="Cosmetic"/>
    <s v="3/18/2024"/>
    <s v="Surface"/>
    <s v="Moderate"/>
    <s v="Visual Inspection"/>
    <n v="206.92"/>
  </r>
  <r>
    <n v="802"/>
    <x v="56"/>
    <s v="Functional"/>
    <s v="3/17/2024"/>
    <s v="Component"/>
    <s v="Moderate"/>
    <s v="Visual Inspection"/>
    <n v="336.29"/>
  </r>
  <r>
    <n v="803"/>
    <x v="57"/>
    <s v="Structural"/>
    <d v="2024-08-01T00:00:00"/>
    <s v="Internal"/>
    <s v="Critical"/>
    <s v="Visual Inspection"/>
    <n v="911.03"/>
  </r>
  <r>
    <n v="804"/>
    <x v="21"/>
    <s v="Structural"/>
    <d v="2024-06-01T00:00:00"/>
    <s v="Surface"/>
    <s v="Minor"/>
    <s v="Visual Inspection"/>
    <n v="720.18"/>
  </r>
  <r>
    <n v="805"/>
    <x v="84"/>
    <s v="Functional"/>
    <s v="4/17/2024"/>
    <s v="Surface"/>
    <s v="Moderate"/>
    <s v="Manual Testing"/>
    <n v="602.51"/>
  </r>
  <r>
    <n v="806"/>
    <x v="48"/>
    <s v="Functional"/>
    <d v="2024-08-04T00:00:00"/>
    <s v="Internal"/>
    <s v="Critical"/>
    <s v="Manual Testing"/>
    <n v="996.6"/>
  </r>
  <r>
    <n v="807"/>
    <x v="66"/>
    <s v="Cosmetic"/>
    <s v="1/28/2024"/>
    <s v="Surface"/>
    <s v="Minor"/>
    <s v="Automated Testing"/>
    <n v="373.64"/>
  </r>
  <r>
    <n v="808"/>
    <x v="66"/>
    <s v="Cosmetic"/>
    <s v="3/30/2024"/>
    <s v="Component"/>
    <s v="Minor"/>
    <s v="Visual Inspection"/>
    <n v="792.57"/>
  </r>
  <r>
    <n v="809"/>
    <x v="59"/>
    <s v="Structural"/>
    <s v="3/19/2024"/>
    <s v="Surface"/>
    <s v="Minor"/>
    <s v="Visual Inspection"/>
    <n v="956.44"/>
  </r>
  <r>
    <n v="810"/>
    <x v="72"/>
    <s v="Functional"/>
    <s v="6/30/2024"/>
    <s v="Component"/>
    <s v="Critical"/>
    <s v="Manual Testing"/>
    <n v="916.1"/>
  </r>
  <r>
    <n v="811"/>
    <x v="40"/>
    <s v="Functional"/>
    <s v="5/15/2024"/>
    <s v="Surface"/>
    <s v="Moderate"/>
    <s v="Visual Inspection"/>
    <n v="93.31"/>
  </r>
  <r>
    <n v="812"/>
    <x v="79"/>
    <s v="Structural"/>
    <s v="3/18/2024"/>
    <s v="Internal"/>
    <s v="Critical"/>
    <s v="Automated Testing"/>
    <n v="576.28"/>
  </r>
  <r>
    <n v="813"/>
    <x v="57"/>
    <s v="Functional"/>
    <d v="2024-06-05T00:00:00"/>
    <s v="Surface"/>
    <s v="Minor"/>
    <s v="Visual Inspection"/>
    <n v="89.52"/>
  </r>
  <r>
    <n v="814"/>
    <x v="37"/>
    <s v="Structural"/>
    <d v="2024-06-01T00:00:00"/>
    <s v="Component"/>
    <s v="Minor"/>
    <s v="Manual Testing"/>
    <n v="381.12"/>
  </r>
  <r>
    <n v="815"/>
    <x v="38"/>
    <s v="Structural"/>
    <s v="6/21/2024"/>
    <s v="Surface"/>
    <s v="Moderate"/>
    <s v="Visual Inspection"/>
    <n v="686.02"/>
  </r>
  <r>
    <n v="816"/>
    <x v="45"/>
    <s v="Functional"/>
    <s v="3/17/2024"/>
    <s v="Surface"/>
    <s v="Minor"/>
    <s v="Manual Testing"/>
    <n v="585.80999999999995"/>
  </r>
  <r>
    <n v="817"/>
    <x v="71"/>
    <s v="Structural"/>
    <s v="3/31/2024"/>
    <s v="Internal"/>
    <s v="Critical"/>
    <s v="Automated Testing"/>
    <n v="28.26"/>
  </r>
  <r>
    <n v="818"/>
    <x v="81"/>
    <s v="Functional"/>
    <d v="2024-06-03T00:00:00"/>
    <s v="Component"/>
    <s v="Critical"/>
    <s v="Visual Inspection"/>
    <n v="858.99"/>
  </r>
  <r>
    <n v="819"/>
    <x v="16"/>
    <s v="Cosmetic"/>
    <s v="2/28/2024"/>
    <s v="Surface"/>
    <s v="Critical"/>
    <s v="Automated Testing"/>
    <n v="373.68"/>
  </r>
  <r>
    <n v="820"/>
    <x v="69"/>
    <s v="Functional"/>
    <s v="2/19/2024"/>
    <s v="Component"/>
    <s v="Critical"/>
    <s v="Manual Testing"/>
    <n v="937.41"/>
  </r>
  <r>
    <n v="821"/>
    <x v="38"/>
    <s v="Cosmetic"/>
    <d v="2024-11-02T00:00:00"/>
    <s v="Surface"/>
    <s v="Moderate"/>
    <s v="Visual Inspection"/>
    <n v="960.72"/>
  </r>
  <r>
    <n v="822"/>
    <x v="70"/>
    <s v="Functional"/>
    <s v="2/25/2024"/>
    <s v="Component"/>
    <s v="Moderate"/>
    <s v="Manual Testing"/>
    <n v="988.9"/>
  </r>
  <r>
    <n v="823"/>
    <x v="86"/>
    <s v="Cosmetic"/>
    <s v="1/29/2024"/>
    <s v="Internal"/>
    <s v="Minor"/>
    <s v="Automated Testing"/>
    <n v="890.34"/>
  </r>
  <r>
    <n v="824"/>
    <x v="10"/>
    <s v="Structural"/>
    <s v="2/13/2024"/>
    <s v="Component"/>
    <s v="Minor"/>
    <s v="Automated Testing"/>
    <n v="838.89"/>
  </r>
  <r>
    <n v="825"/>
    <x v="97"/>
    <s v="Functional"/>
    <s v="1/26/2024"/>
    <s v="Component"/>
    <s v="Moderate"/>
    <s v="Automated Testing"/>
    <n v="90.18"/>
  </r>
  <r>
    <n v="826"/>
    <x v="59"/>
    <s v="Cosmetic"/>
    <s v="1/26/2024"/>
    <s v="Component"/>
    <s v="Minor"/>
    <s v="Manual Testing"/>
    <n v="693.38"/>
  </r>
  <r>
    <n v="827"/>
    <x v="71"/>
    <s v="Cosmetic"/>
    <s v="1/19/2024"/>
    <s v="Component"/>
    <s v="Minor"/>
    <s v="Manual Testing"/>
    <n v="904.55"/>
  </r>
  <r>
    <n v="828"/>
    <x v="26"/>
    <s v="Functional"/>
    <d v="2024-12-05T00:00:00"/>
    <s v="Surface"/>
    <s v="Critical"/>
    <s v="Manual Testing"/>
    <n v="446.66"/>
  </r>
  <r>
    <n v="829"/>
    <x v="7"/>
    <s v="Cosmetic"/>
    <d v="2024-12-02T00:00:00"/>
    <s v="Internal"/>
    <s v="Critical"/>
    <s v="Automated Testing"/>
    <n v="561.22"/>
  </r>
  <r>
    <n v="830"/>
    <x v="41"/>
    <s v="Cosmetic"/>
    <d v="2024-12-04T00:00:00"/>
    <s v="Surface"/>
    <s v="Moderate"/>
    <s v="Visual Inspection"/>
    <n v="227.29"/>
  </r>
  <r>
    <n v="831"/>
    <x v="89"/>
    <s v="Structural"/>
    <s v="4/24/2024"/>
    <s v="Internal"/>
    <s v="Critical"/>
    <s v="Manual Testing"/>
    <n v="129.15"/>
  </r>
  <r>
    <n v="832"/>
    <x v="90"/>
    <s v="Cosmetic"/>
    <d v="2024-02-06T00:00:00"/>
    <s v="Surface"/>
    <s v="Critical"/>
    <s v="Automated Testing"/>
    <n v="105.91"/>
  </r>
  <r>
    <n v="833"/>
    <x v="7"/>
    <s v="Cosmetic"/>
    <s v="2/15/2024"/>
    <s v="Component"/>
    <s v="Minor"/>
    <s v="Visual Inspection"/>
    <n v="833.94"/>
  </r>
  <r>
    <n v="834"/>
    <x v="75"/>
    <s v="Structural"/>
    <d v="2024-09-04T00:00:00"/>
    <s v="Internal"/>
    <s v="Moderate"/>
    <s v="Automated Testing"/>
    <n v="10.55"/>
  </r>
  <r>
    <n v="835"/>
    <x v="53"/>
    <s v="Functional"/>
    <d v="2024-02-01T00:00:00"/>
    <s v="Surface"/>
    <s v="Critical"/>
    <s v="Automated Testing"/>
    <n v="744.8"/>
  </r>
  <r>
    <n v="836"/>
    <x v="77"/>
    <s v="Structural"/>
    <d v="2024-08-05T00:00:00"/>
    <s v="Surface"/>
    <s v="Critical"/>
    <s v="Automated Testing"/>
    <n v="114.02"/>
  </r>
  <r>
    <n v="837"/>
    <x v="8"/>
    <s v="Functional"/>
    <d v="2024-10-03T00:00:00"/>
    <s v="Surface"/>
    <s v="Minor"/>
    <s v="Manual Testing"/>
    <n v="113.95"/>
  </r>
  <r>
    <n v="838"/>
    <x v="79"/>
    <s v="Structural"/>
    <s v="6/14/2024"/>
    <s v="Surface"/>
    <s v="Critical"/>
    <s v="Automated Testing"/>
    <n v="390.19"/>
  </r>
  <r>
    <n v="839"/>
    <x v="97"/>
    <s v="Cosmetic"/>
    <d v="2024-11-05T00:00:00"/>
    <s v="Surface"/>
    <s v="Critical"/>
    <s v="Automated Testing"/>
    <n v="418.17"/>
  </r>
  <r>
    <n v="840"/>
    <x v="77"/>
    <s v="Structural"/>
    <s v="2/16/2024"/>
    <s v="Surface"/>
    <s v="Moderate"/>
    <s v="Automated Testing"/>
    <n v="536.08000000000004"/>
  </r>
  <r>
    <n v="841"/>
    <x v="33"/>
    <s v="Structural"/>
    <s v="1/25/2024"/>
    <s v="Component"/>
    <s v="Minor"/>
    <s v="Manual Testing"/>
    <n v="857.55"/>
  </r>
  <r>
    <n v="842"/>
    <x v="96"/>
    <s v="Functional"/>
    <s v="1/13/2024"/>
    <s v="Surface"/>
    <s v="Minor"/>
    <s v="Automated Testing"/>
    <n v="800.23"/>
  </r>
  <r>
    <n v="843"/>
    <x v="62"/>
    <s v="Functional"/>
    <s v="4/30/2024"/>
    <s v="Surface"/>
    <s v="Moderate"/>
    <s v="Visual Inspection"/>
    <n v="526.92999999999995"/>
  </r>
  <r>
    <n v="844"/>
    <x v="64"/>
    <s v="Structural"/>
    <s v="2/18/2024"/>
    <s v="Component"/>
    <s v="Critical"/>
    <s v="Automated Testing"/>
    <n v="97.57"/>
  </r>
  <r>
    <n v="845"/>
    <x v="98"/>
    <s v="Cosmetic"/>
    <s v="2/27/2024"/>
    <s v="Component"/>
    <s v="Moderate"/>
    <s v="Automated Testing"/>
    <n v="438.29"/>
  </r>
  <r>
    <n v="846"/>
    <x v="28"/>
    <s v="Structural"/>
    <s v="6/25/2024"/>
    <s v="Internal"/>
    <s v="Minor"/>
    <s v="Manual Testing"/>
    <n v="937.74"/>
  </r>
  <r>
    <n v="847"/>
    <x v="20"/>
    <s v="Functional"/>
    <s v="6/22/2024"/>
    <s v="Component"/>
    <s v="Moderate"/>
    <s v="Visual Inspection"/>
    <n v="261.19"/>
  </r>
  <r>
    <n v="848"/>
    <x v="17"/>
    <s v="Functional"/>
    <d v="2024-01-05T00:00:00"/>
    <s v="Component"/>
    <s v="Critical"/>
    <s v="Visual Inspection"/>
    <n v="155.84"/>
  </r>
  <r>
    <n v="849"/>
    <x v="68"/>
    <s v="Cosmetic"/>
    <d v="2024-01-06T00:00:00"/>
    <s v="Component"/>
    <s v="Critical"/>
    <s v="Visual Inspection"/>
    <n v="761.38"/>
  </r>
  <r>
    <n v="850"/>
    <x v="3"/>
    <s v="Structural"/>
    <s v="6/24/2024"/>
    <s v="Component"/>
    <s v="Moderate"/>
    <s v="Automated Testing"/>
    <n v="693.41"/>
  </r>
  <r>
    <n v="851"/>
    <x v="77"/>
    <s v="Functional"/>
    <s v="3/20/2024"/>
    <s v="Component"/>
    <s v="Moderate"/>
    <s v="Automated Testing"/>
    <n v="319.06"/>
  </r>
  <r>
    <n v="852"/>
    <x v="40"/>
    <s v="Functional"/>
    <d v="2024-02-03T00:00:00"/>
    <s v="Internal"/>
    <s v="Moderate"/>
    <s v="Visual Inspection"/>
    <n v="451.5"/>
  </r>
  <r>
    <n v="853"/>
    <x v="31"/>
    <s v="Structural"/>
    <d v="2024-05-05T00:00:00"/>
    <s v="Surface"/>
    <s v="Moderate"/>
    <s v="Automated Testing"/>
    <n v="497.38"/>
  </r>
  <r>
    <n v="854"/>
    <x v="4"/>
    <s v="Functional"/>
    <s v="6/30/2024"/>
    <s v="Surface"/>
    <s v="Minor"/>
    <s v="Visual Inspection"/>
    <n v="556.73"/>
  </r>
  <r>
    <n v="855"/>
    <x v="49"/>
    <s v="Cosmetic"/>
    <d v="2024-07-02T00:00:00"/>
    <s v="Component"/>
    <s v="Critical"/>
    <s v="Visual Inspection"/>
    <n v="414.41"/>
  </r>
  <r>
    <n v="856"/>
    <x v="9"/>
    <s v="Structural"/>
    <d v="2024-01-02T00:00:00"/>
    <s v="Surface"/>
    <s v="Critical"/>
    <s v="Manual Testing"/>
    <n v="450.18"/>
  </r>
  <r>
    <n v="857"/>
    <x v="33"/>
    <s v="Functional"/>
    <d v="2024-10-04T00:00:00"/>
    <s v="Component"/>
    <s v="Moderate"/>
    <s v="Automated Testing"/>
    <n v="992.76"/>
  </r>
  <r>
    <n v="858"/>
    <x v="30"/>
    <s v="Structural"/>
    <d v="2024-12-05T00:00:00"/>
    <s v="Surface"/>
    <s v="Minor"/>
    <s v="Visual Inspection"/>
    <n v="797.39"/>
  </r>
  <r>
    <n v="859"/>
    <x v="26"/>
    <s v="Cosmetic"/>
    <s v="3/25/2024"/>
    <s v="Internal"/>
    <s v="Minor"/>
    <s v="Manual Testing"/>
    <n v="651.04"/>
  </r>
  <r>
    <n v="860"/>
    <x v="3"/>
    <s v="Structural"/>
    <s v="6/24/2024"/>
    <s v="Component"/>
    <s v="Moderate"/>
    <s v="Visual Inspection"/>
    <n v="862.64"/>
  </r>
  <r>
    <n v="861"/>
    <x v="30"/>
    <s v="Structural"/>
    <d v="2024-11-01T00:00:00"/>
    <s v="Surface"/>
    <s v="Critical"/>
    <s v="Automated Testing"/>
    <n v="915.73"/>
  </r>
  <r>
    <n v="862"/>
    <x v="16"/>
    <s v="Structural"/>
    <s v="2/16/2024"/>
    <s v="Component"/>
    <s v="Critical"/>
    <s v="Visual Inspection"/>
    <n v="445.47"/>
  </r>
  <r>
    <n v="863"/>
    <x v="92"/>
    <s v="Functional"/>
    <s v="3/16/2024"/>
    <s v="Surface"/>
    <s v="Critical"/>
    <s v="Automated Testing"/>
    <n v="789.92"/>
  </r>
  <r>
    <n v="864"/>
    <x v="77"/>
    <s v="Cosmetic"/>
    <d v="2024-03-01T00:00:00"/>
    <s v="Component"/>
    <s v="Critical"/>
    <s v="Manual Testing"/>
    <n v="951.99"/>
  </r>
  <r>
    <n v="865"/>
    <x v="62"/>
    <s v="Structural"/>
    <s v="6/14/2024"/>
    <s v="Surface"/>
    <s v="Critical"/>
    <s v="Visual Inspection"/>
    <n v="345.34"/>
  </r>
  <r>
    <n v="866"/>
    <x v="66"/>
    <s v="Cosmetic"/>
    <s v="2/22/2024"/>
    <s v="Surface"/>
    <s v="Minor"/>
    <s v="Visual Inspection"/>
    <n v="119.16"/>
  </r>
  <r>
    <n v="867"/>
    <x v="39"/>
    <s v="Cosmetic"/>
    <s v="3/16/2024"/>
    <s v="Surface"/>
    <s v="Minor"/>
    <s v="Automated Testing"/>
    <n v="649.87"/>
  </r>
  <r>
    <n v="868"/>
    <x v="83"/>
    <s v="Cosmetic"/>
    <d v="2024-10-05T00:00:00"/>
    <s v="Surface"/>
    <s v="Critical"/>
    <s v="Manual Testing"/>
    <n v="141.43"/>
  </r>
  <r>
    <n v="869"/>
    <x v="99"/>
    <s v="Functional"/>
    <d v="2024-08-06T00:00:00"/>
    <s v="Surface"/>
    <s v="Critical"/>
    <s v="Manual Testing"/>
    <n v="753.6"/>
  </r>
  <r>
    <n v="870"/>
    <x v="22"/>
    <s v="Structural"/>
    <d v="2024-04-05T00:00:00"/>
    <s v="Internal"/>
    <s v="Critical"/>
    <s v="Visual Inspection"/>
    <n v="210.03"/>
  </r>
  <r>
    <n v="871"/>
    <x v="82"/>
    <s v="Structural"/>
    <s v="6/13/2024"/>
    <s v="Surface"/>
    <s v="Critical"/>
    <s v="Manual Testing"/>
    <n v="992.01"/>
  </r>
  <r>
    <n v="872"/>
    <x v="61"/>
    <s v="Functional"/>
    <s v="5/20/2024"/>
    <s v="Internal"/>
    <s v="Minor"/>
    <s v="Automated Testing"/>
    <n v="148.15"/>
  </r>
  <r>
    <n v="873"/>
    <x v="44"/>
    <s v="Functional"/>
    <d v="2024-05-01T00:00:00"/>
    <s v="Surface"/>
    <s v="Critical"/>
    <s v="Visual Inspection"/>
    <n v="577.39"/>
  </r>
  <r>
    <n v="874"/>
    <x v="61"/>
    <s v="Cosmetic"/>
    <s v="4/19/2024"/>
    <s v="Surface"/>
    <s v="Critical"/>
    <s v="Visual Inspection"/>
    <n v="98.45"/>
  </r>
  <r>
    <n v="875"/>
    <x v="18"/>
    <s v="Structural"/>
    <s v="4/18/2024"/>
    <s v="Component"/>
    <s v="Moderate"/>
    <s v="Manual Testing"/>
    <n v="734.65"/>
  </r>
  <r>
    <n v="876"/>
    <x v="49"/>
    <s v="Cosmetic"/>
    <s v="3/31/2024"/>
    <s v="Surface"/>
    <s v="Critical"/>
    <s v="Manual Testing"/>
    <n v="485.93"/>
  </r>
  <r>
    <n v="877"/>
    <x v="19"/>
    <s v="Structural"/>
    <d v="2024-04-02T00:00:00"/>
    <s v="Component"/>
    <s v="Minor"/>
    <s v="Automated Testing"/>
    <n v="505.47"/>
  </r>
  <r>
    <n v="878"/>
    <x v="21"/>
    <s v="Functional"/>
    <s v="5/20/2024"/>
    <s v="Internal"/>
    <s v="Critical"/>
    <s v="Automated Testing"/>
    <n v="769.34"/>
  </r>
  <r>
    <n v="879"/>
    <x v="90"/>
    <s v="Structural"/>
    <d v="2024-11-03T00:00:00"/>
    <s v="Internal"/>
    <s v="Moderate"/>
    <s v="Manual Testing"/>
    <n v="939.94"/>
  </r>
  <r>
    <n v="880"/>
    <x v="73"/>
    <s v="Cosmetic"/>
    <s v="4/19/2024"/>
    <s v="Surface"/>
    <s v="Minor"/>
    <s v="Visual Inspection"/>
    <n v="18.7"/>
  </r>
  <r>
    <n v="881"/>
    <x v="97"/>
    <s v="Functional"/>
    <s v="1/21/2024"/>
    <s v="Internal"/>
    <s v="Minor"/>
    <s v="Automated Testing"/>
    <n v="892.85"/>
  </r>
  <r>
    <n v="882"/>
    <x v="22"/>
    <s v="Functional"/>
    <s v="5/21/2024"/>
    <s v="Component"/>
    <s v="Moderate"/>
    <s v="Automated Testing"/>
    <n v="85.21"/>
  </r>
  <r>
    <n v="883"/>
    <x v="52"/>
    <s v="Functional"/>
    <d v="2024-06-06T00:00:00"/>
    <s v="Component"/>
    <s v="Minor"/>
    <s v="Visual Inspection"/>
    <n v="20.83"/>
  </r>
  <r>
    <n v="884"/>
    <x v="75"/>
    <s v="Cosmetic"/>
    <d v="2024-01-04T00:00:00"/>
    <s v="Internal"/>
    <s v="Minor"/>
    <s v="Manual Testing"/>
    <n v="800.02"/>
  </r>
  <r>
    <n v="885"/>
    <x v="17"/>
    <s v="Cosmetic"/>
    <d v="2024-07-06T00:00:00"/>
    <s v="Surface"/>
    <s v="Critical"/>
    <s v="Visual Inspection"/>
    <n v="525.36"/>
  </r>
  <r>
    <n v="886"/>
    <x v="75"/>
    <s v="Structural"/>
    <s v="4/29/2024"/>
    <s v="Surface"/>
    <s v="Minor"/>
    <s v="Visual Inspection"/>
    <n v="164.46"/>
  </r>
  <r>
    <n v="887"/>
    <x v="77"/>
    <s v="Structural"/>
    <s v="5/29/2024"/>
    <s v="Component"/>
    <s v="Moderate"/>
    <s v="Manual Testing"/>
    <n v="452.93"/>
  </r>
  <r>
    <n v="888"/>
    <x v="5"/>
    <s v="Cosmetic"/>
    <s v="4/16/2024"/>
    <s v="Component"/>
    <s v="Critical"/>
    <s v="Automated Testing"/>
    <n v="729.83"/>
  </r>
  <r>
    <n v="889"/>
    <x v="46"/>
    <s v="Functional"/>
    <d v="2024-05-05T00:00:00"/>
    <s v="Component"/>
    <s v="Moderate"/>
    <s v="Automated Testing"/>
    <n v="138.24"/>
  </r>
  <r>
    <n v="890"/>
    <x v="33"/>
    <s v="Structural"/>
    <d v="2024-05-06T00:00:00"/>
    <s v="Internal"/>
    <s v="Minor"/>
    <s v="Automated Testing"/>
    <n v="901.01"/>
  </r>
  <r>
    <n v="891"/>
    <x v="7"/>
    <s v="Functional"/>
    <s v="6/17/2024"/>
    <s v="Internal"/>
    <s v="Minor"/>
    <s v="Manual Testing"/>
    <n v="780.69"/>
  </r>
  <r>
    <n v="892"/>
    <x v="75"/>
    <s v="Structural"/>
    <d v="2024-12-05T00:00:00"/>
    <s v="Internal"/>
    <s v="Critical"/>
    <s v="Automated Testing"/>
    <n v="280.56"/>
  </r>
  <r>
    <n v="893"/>
    <x v="35"/>
    <s v="Structural"/>
    <d v="2024-07-04T00:00:00"/>
    <s v="Surface"/>
    <s v="Minor"/>
    <s v="Manual Testing"/>
    <n v="437.25"/>
  </r>
  <r>
    <n v="894"/>
    <x v="43"/>
    <s v="Structural"/>
    <s v="5/19/2024"/>
    <s v="Surface"/>
    <s v="Minor"/>
    <s v="Manual Testing"/>
    <n v="902.78"/>
  </r>
  <r>
    <n v="895"/>
    <x v="35"/>
    <s v="Structural"/>
    <d v="2024-09-01T00:00:00"/>
    <s v="Internal"/>
    <s v="Minor"/>
    <s v="Visual Inspection"/>
    <n v="687.38"/>
  </r>
  <r>
    <n v="896"/>
    <x v="35"/>
    <s v="Structural"/>
    <s v="3/29/2024"/>
    <s v="Internal"/>
    <s v="Minor"/>
    <s v="Manual Testing"/>
    <n v="436.79"/>
  </r>
  <r>
    <n v="897"/>
    <x v="58"/>
    <s v="Functional"/>
    <s v="5/15/2024"/>
    <s v="Internal"/>
    <s v="Minor"/>
    <s v="Manual Testing"/>
    <n v="991.95"/>
  </r>
  <r>
    <n v="898"/>
    <x v="27"/>
    <s v="Structural"/>
    <s v="5/16/2024"/>
    <s v="Surface"/>
    <s v="Moderate"/>
    <s v="Manual Testing"/>
    <n v="247.97"/>
  </r>
  <r>
    <n v="899"/>
    <x v="38"/>
    <s v="Cosmetic"/>
    <s v="3/16/2024"/>
    <s v="Component"/>
    <s v="Critical"/>
    <s v="Manual Testing"/>
    <n v="895.77"/>
  </r>
  <r>
    <n v="900"/>
    <x v="2"/>
    <s v="Functional"/>
    <s v="2/16/2024"/>
    <s v="Surface"/>
    <s v="Critical"/>
    <s v="Manual Testing"/>
    <n v="628.29"/>
  </r>
  <r>
    <n v="901"/>
    <x v="60"/>
    <s v="Cosmetic"/>
    <s v="3/20/2024"/>
    <s v="Internal"/>
    <s v="Critical"/>
    <s v="Manual Testing"/>
    <n v="40.799999999999997"/>
  </r>
  <r>
    <n v="902"/>
    <x v="23"/>
    <s v="Structural"/>
    <d v="2024-12-03T00:00:00"/>
    <s v="Component"/>
    <s v="Minor"/>
    <s v="Manual Testing"/>
    <n v="709.87"/>
  </r>
  <r>
    <n v="903"/>
    <x v="86"/>
    <s v="Functional"/>
    <s v="5/24/2024"/>
    <s v="Surface"/>
    <s v="Minor"/>
    <s v="Automated Testing"/>
    <n v="450.31"/>
  </r>
  <r>
    <n v="904"/>
    <x v="75"/>
    <s v="Cosmetic"/>
    <d v="2024-08-04T00:00:00"/>
    <s v="Surface"/>
    <s v="Moderate"/>
    <s v="Visual Inspection"/>
    <n v="577.20000000000005"/>
  </r>
  <r>
    <n v="905"/>
    <x v="68"/>
    <s v="Functional"/>
    <d v="2024-07-02T00:00:00"/>
    <s v="Surface"/>
    <s v="Minor"/>
    <s v="Manual Testing"/>
    <n v="431.46"/>
  </r>
  <r>
    <n v="906"/>
    <x v="1"/>
    <s v="Structural"/>
    <s v="1/25/2024"/>
    <s v="Surface"/>
    <s v="Critical"/>
    <s v="Visual Inspection"/>
    <n v="62.68"/>
  </r>
  <r>
    <n v="907"/>
    <x v="75"/>
    <s v="Structural"/>
    <s v="2/16/2024"/>
    <s v="Component"/>
    <s v="Minor"/>
    <s v="Visual Inspection"/>
    <n v="988.05"/>
  </r>
  <r>
    <n v="908"/>
    <x v="49"/>
    <s v="Functional"/>
    <s v="4/24/2024"/>
    <s v="Component"/>
    <s v="Moderate"/>
    <s v="Manual Testing"/>
    <n v="156.46"/>
  </r>
  <r>
    <n v="909"/>
    <x v="1"/>
    <s v="Functional"/>
    <d v="2024-08-03T00:00:00"/>
    <s v="Component"/>
    <s v="Critical"/>
    <s v="Visual Inspection"/>
    <n v="32.9"/>
  </r>
  <r>
    <n v="910"/>
    <x v="45"/>
    <s v="Functional"/>
    <s v="2/29/2024"/>
    <s v="Surface"/>
    <s v="Moderate"/>
    <s v="Manual Testing"/>
    <n v="443.75"/>
  </r>
  <r>
    <n v="911"/>
    <x v="81"/>
    <s v="Functional"/>
    <d v="2024-07-06T00:00:00"/>
    <s v="Component"/>
    <s v="Minor"/>
    <s v="Visual Inspection"/>
    <n v="62.7"/>
  </r>
  <r>
    <n v="912"/>
    <x v="92"/>
    <s v="Functional"/>
    <s v="4/28/2024"/>
    <s v="Component"/>
    <s v="Moderate"/>
    <s v="Visual Inspection"/>
    <n v="278.60000000000002"/>
  </r>
  <r>
    <n v="913"/>
    <x v="72"/>
    <s v="Functional"/>
    <s v="6/26/2024"/>
    <s v="Surface"/>
    <s v="Moderate"/>
    <s v="Automated Testing"/>
    <n v="213.48"/>
  </r>
  <r>
    <n v="914"/>
    <x v="85"/>
    <s v="Functional"/>
    <s v="6/15/2024"/>
    <s v="Internal"/>
    <s v="Critical"/>
    <s v="Automated Testing"/>
    <n v="90.11"/>
  </r>
  <r>
    <n v="915"/>
    <x v="65"/>
    <s v="Cosmetic"/>
    <d v="2024-05-03T00:00:00"/>
    <s v="Surface"/>
    <s v="Moderate"/>
    <s v="Visual Inspection"/>
    <n v="108.7"/>
  </r>
  <r>
    <n v="916"/>
    <x v="40"/>
    <s v="Structural"/>
    <s v="2/21/2024"/>
    <s v="Surface"/>
    <s v="Moderate"/>
    <s v="Visual Inspection"/>
    <n v="75.06"/>
  </r>
  <r>
    <n v="917"/>
    <x v="65"/>
    <s v="Cosmetic"/>
    <d v="2024-04-01T00:00:00"/>
    <s v="Component"/>
    <s v="Critical"/>
    <s v="Automated Testing"/>
    <n v="511.65"/>
  </r>
  <r>
    <n v="918"/>
    <x v="34"/>
    <s v="Functional"/>
    <d v="2024-01-06T00:00:00"/>
    <s v="Component"/>
    <s v="Moderate"/>
    <s v="Visual Inspection"/>
    <n v="535.87"/>
  </r>
  <r>
    <n v="919"/>
    <x v="52"/>
    <s v="Cosmetic"/>
    <d v="2024-01-03T00:00:00"/>
    <s v="Internal"/>
    <s v="Minor"/>
    <s v="Visual Inspection"/>
    <n v="585.78"/>
  </r>
  <r>
    <n v="920"/>
    <x v="87"/>
    <s v="Functional"/>
    <d v="2024-03-01T00:00:00"/>
    <s v="Surface"/>
    <s v="Moderate"/>
    <s v="Visual Inspection"/>
    <n v="873.58"/>
  </r>
  <r>
    <n v="921"/>
    <x v="73"/>
    <s v="Cosmetic"/>
    <d v="2024-09-03T00:00:00"/>
    <s v="Internal"/>
    <s v="Moderate"/>
    <s v="Automated Testing"/>
    <n v="73.459999999999994"/>
  </r>
  <r>
    <n v="922"/>
    <x v="7"/>
    <s v="Cosmetic"/>
    <s v="3/17/2024"/>
    <s v="Component"/>
    <s v="Minor"/>
    <s v="Visual Inspection"/>
    <n v="793.46"/>
  </r>
  <r>
    <n v="923"/>
    <x v="36"/>
    <s v="Structural"/>
    <s v="3/29/2024"/>
    <s v="Surface"/>
    <s v="Minor"/>
    <s v="Visual Inspection"/>
    <n v="893.77"/>
  </r>
  <r>
    <n v="924"/>
    <x v="47"/>
    <s v="Cosmetic"/>
    <s v="6/16/2024"/>
    <s v="Component"/>
    <s v="Minor"/>
    <s v="Manual Testing"/>
    <n v="409.43"/>
  </r>
  <r>
    <n v="925"/>
    <x v="50"/>
    <s v="Functional"/>
    <d v="2024-03-05T00:00:00"/>
    <s v="Internal"/>
    <s v="Minor"/>
    <s v="Automated Testing"/>
    <n v="351.86"/>
  </r>
  <r>
    <n v="926"/>
    <x v="94"/>
    <s v="Functional"/>
    <d v="2024-12-01T00:00:00"/>
    <s v="Internal"/>
    <s v="Moderate"/>
    <s v="Automated Testing"/>
    <n v="933.37"/>
  </r>
  <r>
    <n v="927"/>
    <x v="63"/>
    <s v="Cosmetic"/>
    <s v="3/19/2024"/>
    <s v="Surface"/>
    <s v="Moderate"/>
    <s v="Visual Inspection"/>
    <n v="333.92"/>
  </r>
  <r>
    <n v="928"/>
    <x v="67"/>
    <s v="Structural"/>
    <s v="4/27/2024"/>
    <s v="Internal"/>
    <s v="Moderate"/>
    <s v="Manual Testing"/>
    <n v="904.57"/>
  </r>
  <r>
    <n v="929"/>
    <x v="44"/>
    <s v="Functional"/>
    <s v="4/27/2024"/>
    <s v="Surface"/>
    <s v="Critical"/>
    <s v="Visual Inspection"/>
    <n v="225.51"/>
  </r>
  <r>
    <n v="930"/>
    <x v="46"/>
    <s v="Functional"/>
    <s v="5/14/2024"/>
    <s v="Component"/>
    <s v="Critical"/>
    <s v="Automated Testing"/>
    <n v="664.52"/>
  </r>
  <r>
    <n v="931"/>
    <x v="18"/>
    <s v="Structural"/>
    <d v="2024-04-02T00:00:00"/>
    <s v="Internal"/>
    <s v="Critical"/>
    <s v="Automated Testing"/>
    <n v="486.49"/>
  </r>
  <r>
    <n v="932"/>
    <x v="67"/>
    <s v="Functional"/>
    <s v="5/14/2024"/>
    <s v="Internal"/>
    <s v="Moderate"/>
    <s v="Visual Inspection"/>
    <n v="127.23"/>
  </r>
  <r>
    <n v="933"/>
    <x v="0"/>
    <s v="Cosmetic"/>
    <s v="5/16/2024"/>
    <s v="Internal"/>
    <s v="Minor"/>
    <s v="Visual Inspection"/>
    <n v="121.96"/>
  </r>
  <r>
    <n v="934"/>
    <x v="41"/>
    <s v="Cosmetic"/>
    <d v="2024-06-05T00:00:00"/>
    <s v="Surface"/>
    <s v="Minor"/>
    <s v="Manual Testing"/>
    <n v="267.64"/>
  </r>
  <r>
    <n v="935"/>
    <x v="92"/>
    <s v="Structural"/>
    <s v="1/19/2024"/>
    <s v="Surface"/>
    <s v="Critical"/>
    <s v="Automated Testing"/>
    <n v="298.02999999999997"/>
  </r>
  <r>
    <n v="936"/>
    <x v="40"/>
    <s v="Cosmetic"/>
    <d v="2024-03-02T00:00:00"/>
    <s v="Component"/>
    <s v="Moderate"/>
    <s v="Automated Testing"/>
    <n v="604.72"/>
  </r>
  <r>
    <n v="937"/>
    <x v="91"/>
    <s v="Structural"/>
    <s v="4/18/2024"/>
    <s v="Internal"/>
    <s v="Critical"/>
    <s v="Manual Testing"/>
    <n v="749.05"/>
  </r>
  <r>
    <n v="938"/>
    <x v="83"/>
    <s v="Structural"/>
    <d v="2024-08-04T00:00:00"/>
    <s v="Surface"/>
    <s v="Minor"/>
    <s v="Manual Testing"/>
    <n v="499.34"/>
  </r>
  <r>
    <n v="939"/>
    <x v="32"/>
    <s v="Cosmetic"/>
    <s v="2/16/2024"/>
    <s v="Internal"/>
    <s v="Moderate"/>
    <s v="Visual Inspection"/>
    <n v="590.85"/>
  </r>
  <r>
    <n v="940"/>
    <x v="42"/>
    <s v="Functional"/>
    <d v="2024-01-04T00:00:00"/>
    <s v="Internal"/>
    <s v="Minor"/>
    <s v="Manual Testing"/>
    <n v="355.6"/>
  </r>
  <r>
    <n v="941"/>
    <x v="92"/>
    <s v="Structural"/>
    <s v="1/27/2024"/>
    <s v="Component"/>
    <s v="Minor"/>
    <s v="Visual Inspection"/>
    <n v="266.97000000000003"/>
  </r>
  <r>
    <n v="942"/>
    <x v="92"/>
    <s v="Structural"/>
    <s v="5/29/2024"/>
    <s v="Surface"/>
    <s v="Critical"/>
    <s v="Visual Inspection"/>
    <n v="160.08000000000001"/>
  </r>
  <r>
    <n v="943"/>
    <x v="37"/>
    <s v="Cosmetic"/>
    <s v="4/17/2024"/>
    <s v="Internal"/>
    <s v="Moderate"/>
    <s v="Manual Testing"/>
    <n v="827.64"/>
  </r>
  <r>
    <n v="944"/>
    <x v="13"/>
    <s v="Functional"/>
    <d v="2024-11-03T00:00:00"/>
    <s v="Surface"/>
    <s v="Minor"/>
    <s v="Manual Testing"/>
    <n v="19.829999999999998"/>
  </r>
  <r>
    <n v="945"/>
    <x v="3"/>
    <s v="Cosmetic"/>
    <s v="5/24/2024"/>
    <s v="Surface"/>
    <s v="Minor"/>
    <s v="Visual Inspection"/>
    <n v="989.49"/>
  </r>
  <r>
    <n v="946"/>
    <x v="12"/>
    <s v="Cosmetic"/>
    <d v="2024-03-03T00:00:00"/>
    <s v="Internal"/>
    <s v="Minor"/>
    <s v="Manual Testing"/>
    <n v="133.9"/>
  </r>
  <r>
    <n v="947"/>
    <x v="1"/>
    <s v="Cosmetic"/>
    <d v="2024-03-03T00:00:00"/>
    <s v="Internal"/>
    <s v="Moderate"/>
    <s v="Visual Inspection"/>
    <n v="739.33"/>
  </r>
  <r>
    <n v="948"/>
    <x v="55"/>
    <s v="Structural"/>
    <s v="2/16/2024"/>
    <s v="Component"/>
    <s v="Moderate"/>
    <s v="Automated Testing"/>
    <n v="947.83"/>
  </r>
  <r>
    <n v="949"/>
    <x v="23"/>
    <s v="Structural"/>
    <d v="2024-11-04T00:00:00"/>
    <s v="Surface"/>
    <s v="Critical"/>
    <s v="Automated Testing"/>
    <n v="743.44"/>
  </r>
  <r>
    <n v="950"/>
    <x v="84"/>
    <s v="Structural"/>
    <s v="2/23/2024"/>
    <s v="Surface"/>
    <s v="Critical"/>
    <s v="Automated Testing"/>
    <n v="534.79"/>
  </r>
  <r>
    <n v="951"/>
    <x v="47"/>
    <s v="Functional"/>
    <d v="2024-08-06T00:00:00"/>
    <s v="Internal"/>
    <s v="Moderate"/>
    <s v="Visual Inspection"/>
    <n v="479.56"/>
  </r>
  <r>
    <n v="952"/>
    <x v="84"/>
    <s v="Structural"/>
    <s v="2/26/2024"/>
    <s v="Surface"/>
    <s v="Critical"/>
    <s v="Visual Inspection"/>
    <n v="87.89"/>
  </r>
  <r>
    <n v="953"/>
    <x v="18"/>
    <s v="Functional"/>
    <s v="3/27/2024"/>
    <s v="Surface"/>
    <s v="Minor"/>
    <s v="Manual Testing"/>
    <n v="571.61"/>
  </r>
  <r>
    <n v="954"/>
    <x v="92"/>
    <s v="Structural"/>
    <s v="6/17/2024"/>
    <s v="Surface"/>
    <s v="Moderate"/>
    <s v="Visual Inspection"/>
    <n v="485.1"/>
  </r>
  <r>
    <n v="955"/>
    <x v="6"/>
    <s v="Functional"/>
    <s v="2/28/2024"/>
    <s v="Internal"/>
    <s v="Minor"/>
    <s v="Manual Testing"/>
    <n v="289.68"/>
  </r>
  <r>
    <n v="956"/>
    <x v="45"/>
    <s v="Functional"/>
    <d v="2024-01-03T00:00:00"/>
    <s v="Surface"/>
    <s v="Critical"/>
    <s v="Manual Testing"/>
    <n v="962.48"/>
  </r>
  <r>
    <n v="957"/>
    <x v="21"/>
    <s v="Structural"/>
    <s v="5/27/2024"/>
    <s v="Internal"/>
    <s v="Minor"/>
    <s v="Automated Testing"/>
    <n v="13.19"/>
  </r>
  <r>
    <n v="958"/>
    <x v="26"/>
    <s v="Structural"/>
    <d v="2024-03-04T00:00:00"/>
    <s v="Component"/>
    <s v="Critical"/>
    <s v="Visual Inspection"/>
    <n v="298.81"/>
  </r>
  <r>
    <n v="959"/>
    <x v="15"/>
    <s v="Cosmetic"/>
    <s v="4/27/2024"/>
    <s v="Component"/>
    <s v="Critical"/>
    <s v="Automated Testing"/>
    <n v="916.49"/>
  </r>
  <r>
    <n v="960"/>
    <x v="82"/>
    <s v="Cosmetic"/>
    <s v="3/19/2024"/>
    <s v="Internal"/>
    <s v="Critical"/>
    <s v="Automated Testing"/>
    <n v="15.96"/>
  </r>
  <r>
    <n v="961"/>
    <x v="25"/>
    <s v="Structural"/>
    <s v="3/29/2024"/>
    <s v="Component"/>
    <s v="Moderate"/>
    <s v="Visual Inspection"/>
    <n v="383.65"/>
  </r>
  <r>
    <n v="962"/>
    <x v="80"/>
    <s v="Cosmetic"/>
    <s v="1/30/2024"/>
    <s v="Component"/>
    <s v="Critical"/>
    <s v="Manual Testing"/>
    <n v="612.25"/>
  </r>
  <r>
    <n v="963"/>
    <x v="30"/>
    <s v="Cosmetic"/>
    <s v="5/26/2024"/>
    <s v="Component"/>
    <s v="Minor"/>
    <s v="Automated Testing"/>
    <n v="142"/>
  </r>
  <r>
    <n v="964"/>
    <x v="10"/>
    <s v="Functional"/>
    <s v="2/13/2024"/>
    <s v="Component"/>
    <s v="Critical"/>
    <s v="Manual Testing"/>
    <n v="685.35"/>
  </r>
  <r>
    <n v="965"/>
    <x v="10"/>
    <s v="Functional"/>
    <s v="6/22/2024"/>
    <s v="Internal"/>
    <s v="Critical"/>
    <s v="Visual Inspection"/>
    <n v="358.46"/>
  </r>
  <r>
    <n v="966"/>
    <x v="88"/>
    <s v="Functional"/>
    <s v="3/29/2024"/>
    <s v="Internal"/>
    <s v="Moderate"/>
    <s v="Visual Inspection"/>
    <n v="310.35000000000002"/>
  </r>
  <r>
    <n v="967"/>
    <x v="18"/>
    <s v="Functional"/>
    <s v="3/13/2024"/>
    <s v="Internal"/>
    <s v="Moderate"/>
    <s v="Manual Testing"/>
    <n v="610.75"/>
  </r>
  <r>
    <n v="968"/>
    <x v="32"/>
    <s v="Structural"/>
    <d v="2024-03-03T00:00:00"/>
    <s v="Internal"/>
    <s v="Moderate"/>
    <s v="Visual Inspection"/>
    <n v="523.61"/>
  </r>
  <r>
    <n v="969"/>
    <x v="1"/>
    <s v="Structural"/>
    <s v="3/15/2024"/>
    <s v="Surface"/>
    <s v="Minor"/>
    <s v="Manual Testing"/>
    <n v="945.17"/>
  </r>
  <r>
    <n v="970"/>
    <x v="20"/>
    <s v="Structural"/>
    <s v="1/28/2024"/>
    <s v="Internal"/>
    <s v="Minor"/>
    <s v="Visual Inspection"/>
    <n v="708.97"/>
  </r>
  <r>
    <n v="971"/>
    <x v="98"/>
    <s v="Cosmetic"/>
    <d v="2024-07-04T00:00:00"/>
    <s v="Component"/>
    <s v="Minor"/>
    <s v="Automated Testing"/>
    <n v="309.87"/>
  </r>
  <r>
    <n v="972"/>
    <x v="62"/>
    <s v="Cosmetic"/>
    <d v="2024-04-01T00:00:00"/>
    <s v="Surface"/>
    <s v="Critical"/>
    <s v="Manual Testing"/>
    <n v="565.48"/>
  </r>
  <r>
    <n v="973"/>
    <x v="4"/>
    <s v="Structural"/>
    <s v="6/14/2024"/>
    <s v="Surface"/>
    <s v="Critical"/>
    <s v="Automated Testing"/>
    <n v="859.52"/>
  </r>
  <r>
    <n v="974"/>
    <x v="22"/>
    <s v="Cosmetic"/>
    <s v="1/21/2024"/>
    <s v="Internal"/>
    <s v="Critical"/>
    <s v="Manual Testing"/>
    <n v="140.02000000000001"/>
  </r>
  <r>
    <n v="975"/>
    <x v="25"/>
    <s v="Functional"/>
    <d v="2024-01-01T00:00:00"/>
    <s v="Component"/>
    <s v="Moderate"/>
    <s v="Automated Testing"/>
    <n v="626.35"/>
  </r>
  <r>
    <n v="976"/>
    <x v="37"/>
    <s v="Cosmetic"/>
    <s v="5/18/2024"/>
    <s v="Component"/>
    <s v="Moderate"/>
    <s v="Visual Inspection"/>
    <n v="807.32"/>
  </r>
  <r>
    <n v="977"/>
    <x v="71"/>
    <s v="Structural"/>
    <d v="2024-08-06T00:00:00"/>
    <s v="Internal"/>
    <s v="Critical"/>
    <s v="Automated Testing"/>
    <n v="888.55"/>
  </r>
  <r>
    <n v="978"/>
    <x v="89"/>
    <s v="Functional"/>
    <s v="1/29/2024"/>
    <s v="Component"/>
    <s v="Moderate"/>
    <s v="Automated Testing"/>
    <n v="440.85"/>
  </r>
  <r>
    <n v="979"/>
    <x v="61"/>
    <s v="Functional"/>
    <d v="2024-11-01T00:00:00"/>
    <s v="Internal"/>
    <s v="Critical"/>
    <s v="Manual Testing"/>
    <n v="652.97"/>
  </r>
  <r>
    <n v="980"/>
    <x v="22"/>
    <s v="Functional"/>
    <s v="2/29/2024"/>
    <s v="Internal"/>
    <s v="Moderate"/>
    <s v="Visual Inspection"/>
    <n v="725.44"/>
  </r>
  <r>
    <n v="981"/>
    <x v="54"/>
    <s v="Cosmetic"/>
    <s v="1/16/2024"/>
    <s v="Internal"/>
    <s v="Minor"/>
    <s v="Manual Testing"/>
    <n v="843.66"/>
  </r>
  <r>
    <n v="982"/>
    <x v="39"/>
    <s v="Cosmetic"/>
    <s v="3/15/2024"/>
    <s v="Component"/>
    <s v="Moderate"/>
    <s v="Visual Inspection"/>
    <n v="611.79999999999995"/>
  </r>
  <r>
    <n v="983"/>
    <x v="79"/>
    <s v="Functional"/>
    <s v="5/16/2024"/>
    <s v="Surface"/>
    <s v="Moderate"/>
    <s v="Automated Testing"/>
    <n v="712.12"/>
  </r>
  <r>
    <n v="984"/>
    <x v="45"/>
    <s v="Functional"/>
    <s v="6/22/2024"/>
    <s v="Internal"/>
    <s v="Critical"/>
    <s v="Manual Testing"/>
    <n v="941.33"/>
  </r>
  <r>
    <n v="985"/>
    <x v="66"/>
    <s v="Functional"/>
    <d v="2024-02-02T00:00:00"/>
    <s v="Internal"/>
    <s v="Critical"/>
    <s v="Automated Testing"/>
    <n v="112.15"/>
  </r>
  <r>
    <n v="986"/>
    <x v="87"/>
    <s v="Structural"/>
    <d v="2024-08-02T00:00:00"/>
    <s v="Internal"/>
    <s v="Moderate"/>
    <s v="Automated Testing"/>
    <n v="284.7"/>
  </r>
  <r>
    <n v="987"/>
    <x v="97"/>
    <s v="Cosmetic"/>
    <s v="5/22/2024"/>
    <s v="Internal"/>
    <s v="Minor"/>
    <s v="Visual Inspection"/>
    <n v="694.09"/>
  </r>
  <r>
    <n v="988"/>
    <x v="98"/>
    <s v="Cosmetic"/>
    <d v="2024-05-02T00:00:00"/>
    <s v="Surface"/>
    <s v="Moderate"/>
    <s v="Automated Testing"/>
    <n v="102.98"/>
  </r>
  <r>
    <n v="989"/>
    <x v="50"/>
    <s v="Cosmetic"/>
    <d v="2024-01-01T00:00:00"/>
    <s v="Component"/>
    <s v="Critical"/>
    <s v="Visual Inspection"/>
    <n v="398.32"/>
  </r>
  <r>
    <n v="990"/>
    <x v="10"/>
    <s v="Cosmetic"/>
    <d v="2024-11-06T00:00:00"/>
    <s v="Component"/>
    <s v="Critical"/>
    <s v="Manual Testing"/>
    <n v="576.07000000000005"/>
  </r>
  <r>
    <n v="991"/>
    <x v="3"/>
    <s v="Cosmetic"/>
    <d v="2024-08-06T00:00:00"/>
    <s v="Internal"/>
    <s v="Minor"/>
    <s v="Visual Inspection"/>
    <n v="51.79"/>
  </r>
  <r>
    <n v="992"/>
    <x v="40"/>
    <s v="Cosmetic"/>
    <s v="1/25/2024"/>
    <s v="Internal"/>
    <s v="Critical"/>
    <s v="Visual Inspection"/>
    <n v="426.31"/>
  </r>
  <r>
    <n v="993"/>
    <x v="64"/>
    <s v="Functional"/>
    <s v="3/14/2024"/>
    <s v="Internal"/>
    <s v="Critical"/>
    <s v="Manual Testing"/>
    <n v="808.65"/>
  </r>
  <r>
    <n v="994"/>
    <x v="72"/>
    <s v="Cosmetic"/>
    <d v="2024-11-02T00:00:00"/>
    <s v="Component"/>
    <s v="Minor"/>
    <s v="Visual Inspection"/>
    <n v="970.37"/>
  </r>
  <r>
    <n v="995"/>
    <x v="70"/>
    <s v="Cosmetic"/>
    <s v="1/28/2024"/>
    <s v="Internal"/>
    <s v="Moderate"/>
    <s v="Automated Testing"/>
    <n v="67.540000000000006"/>
  </r>
  <r>
    <n v="996"/>
    <x v="26"/>
    <s v="Structural"/>
    <d v="2024-01-03T00:00:00"/>
    <s v="Component"/>
    <s v="Minor"/>
    <s v="Automated Testing"/>
    <n v="813.14"/>
  </r>
  <r>
    <n v="997"/>
    <x v="84"/>
    <s v="Functional"/>
    <s v="3/21/2024"/>
    <s v="Component"/>
    <s v="Moderate"/>
    <s v="Automated Testing"/>
    <n v="944.07"/>
  </r>
  <r>
    <n v="998"/>
    <x v="5"/>
    <s v="Structural"/>
    <s v="1/16/2024"/>
    <s v="Component"/>
    <s v="Minor"/>
    <s v="Automated Testing"/>
    <n v="401.12"/>
  </r>
  <r>
    <n v="999"/>
    <x v="71"/>
    <s v="Cosmetic"/>
    <s v="6/21/2024"/>
    <s v="Internal"/>
    <s v="Moderate"/>
    <s v="Manual Testing"/>
    <n v="775.63"/>
  </r>
  <r>
    <n v="1000"/>
    <x v="61"/>
    <s v="Cosmetic"/>
    <s v="3/23/2024"/>
    <s v="Component"/>
    <s v="Minor"/>
    <s v="Visual Inspection"/>
    <n v="963.4"/>
  </r>
  <r>
    <m/>
    <x v="100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d v="2024-06-06T00:00:00"/>
    <s v="Component"/>
    <x v="0"/>
    <x v="0"/>
    <x v="0"/>
    <x v="0"/>
  </r>
  <r>
    <x v="1"/>
    <x v="1"/>
    <x v="1"/>
    <d v="2024-04-26T00:00:00"/>
    <s v="Component"/>
    <x v="0"/>
    <x v="0"/>
    <x v="1"/>
    <x v="1"/>
  </r>
  <r>
    <x v="2"/>
    <x v="2"/>
    <x v="0"/>
    <d v="2024-02-15T00:00:00"/>
    <s v="Internal"/>
    <x v="0"/>
    <x v="1"/>
    <x v="2"/>
    <x v="2"/>
  </r>
  <r>
    <x v="3"/>
    <x v="3"/>
    <x v="1"/>
    <d v="2024-03-28T00:00:00"/>
    <s v="Internal"/>
    <x v="1"/>
    <x v="1"/>
    <x v="3"/>
    <x v="3"/>
  </r>
  <r>
    <x v="4"/>
    <x v="4"/>
    <x v="2"/>
    <d v="2024-04-26T00:00:00"/>
    <s v="Component"/>
    <x v="0"/>
    <x v="2"/>
    <x v="4"/>
    <x v="1"/>
  </r>
  <r>
    <x v="5"/>
    <x v="5"/>
    <x v="1"/>
    <d v="2024-05-11T00:00:00"/>
    <s v="Internal"/>
    <x v="2"/>
    <x v="0"/>
    <x v="5"/>
    <x v="4"/>
  </r>
  <r>
    <x v="6"/>
    <x v="6"/>
    <x v="2"/>
    <d v="2024-05-23T00:00:00"/>
    <s v="Internal"/>
    <x v="1"/>
    <x v="2"/>
    <x v="6"/>
    <x v="4"/>
  </r>
  <r>
    <x v="7"/>
    <x v="7"/>
    <x v="0"/>
    <d v="2024-01-15T00:00:00"/>
    <s v="Internal"/>
    <x v="2"/>
    <x v="2"/>
    <x v="7"/>
    <x v="5"/>
  </r>
  <r>
    <x v="8"/>
    <x v="8"/>
    <x v="0"/>
    <d v="2024-01-26T00:00:00"/>
    <s v="Component"/>
    <x v="1"/>
    <x v="2"/>
    <x v="8"/>
    <x v="5"/>
  </r>
  <r>
    <x v="9"/>
    <x v="9"/>
    <x v="0"/>
    <d v="2024-06-05T00:00:00"/>
    <s v="Component"/>
    <x v="1"/>
    <x v="0"/>
    <x v="9"/>
    <x v="0"/>
  </r>
  <r>
    <x v="10"/>
    <x v="10"/>
    <x v="0"/>
    <d v="2024-04-28T00:00:00"/>
    <s v="Surface"/>
    <x v="2"/>
    <x v="1"/>
    <x v="10"/>
    <x v="1"/>
  </r>
  <r>
    <x v="11"/>
    <x v="11"/>
    <x v="0"/>
    <d v="2024-02-25T00:00:00"/>
    <s v="Component"/>
    <x v="0"/>
    <x v="2"/>
    <x v="11"/>
    <x v="2"/>
  </r>
  <r>
    <x v="12"/>
    <x v="12"/>
    <x v="2"/>
    <d v="2024-06-20T00:00:00"/>
    <s v="Component"/>
    <x v="0"/>
    <x v="0"/>
    <x v="12"/>
    <x v="0"/>
  </r>
  <r>
    <x v="13"/>
    <x v="13"/>
    <x v="2"/>
    <d v="2024-05-08T00:00:00"/>
    <s v="Surface"/>
    <x v="1"/>
    <x v="2"/>
    <x v="13"/>
    <x v="4"/>
  </r>
  <r>
    <x v="14"/>
    <x v="14"/>
    <x v="2"/>
    <d v="2024-05-03T00:00:00"/>
    <s v="Component"/>
    <x v="1"/>
    <x v="2"/>
    <x v="14"/>
    <x v="4"/>
  </r>
  <r>
    <x v="15"/>
    <x v="3"/>
    <x v="1"/>
    <d v="2024-01-20T00:00:00"/>
    <s v="Component"/>
    <x v="0"/>
    <x v="1"/>
    <x v="15"/>
    <x v="5"/>
  </r>
  <r>
    <x v="16"/>
    <x v="15"/>
    <x v="0"/>
    <d v="2024-05-14T00:00:00"/>
    <s v="Internal"/>
    <x v="0"/>
    <x v="0"/>
    <x v="16"/>
    <x v="4"/>
  </r>
  <r>
    <x v="17"/>
    <x v="16"/>
    <x v="2"/>
    <d v="2024-05-21T00:00:00"/>
    <s v="Component"/>
    <x v="1"/>
    <x v="0"/>
    <x v="17"/>
    <x v="4"/>
  </r>
  <r>
    <x v="18"/>
    <x v="17"/>
    <x v="1"/>
    <d v="2024-02-15T00:00:00"/>
    <s v="Internal"/>
    <x v="1"/>
    <x v="2"/>
    <x v="18"/>
    <x v="2"/>
  </r>
  <r>
    <x v="19"/>
    <x v="18"/>
    <x v="0"/>
    <d v="2024-05-25T00:00:00"/>
    <s v="Internal"/>
    <x v="2"/>
    <x v="2"/>
    <x v="19"/>
    <x v="4"/>
  </r>
  <r>
    <x v="20"/>
    <x v="19"/>
    <x v="1"/>
    <d v="2024-05-03T00:00:00"/>
    <s v="Surface"/>
    <x v="0"/>
    <x v="0"/>
    <x v="20"/>
    <x v="4"/>
  </r>
  <r>
    <x v="21"/>
    <x v="1"/>
    <x v="0"/>
    <d v="2024-03-06T00:00:00"/>
    <s v="Surface"/>
    <x v="0"/>
    <x v="0"/>
    <x v="21"/>
    <x v="3"/>
  </r>
  <r>
    <x v="22"/>
    <x v="20"/>
    <x v="0"/>
    <d v="2024-05-06T00:00:00"/>
    <s v="Surface"/>
    <x v="2"/>
    <x v="1"/>
    <x v="22"/>
    <x v="4"/>
  </r>
  <r>
    <x v="23"/>
    <x v="0"/>
    <x v="0"/>
    <d v="2024-02-23T00:00:00"/>
    <s v="Component"/>
    <x v="1"/>
    <x v="0"/>
    <x v="23"/>
    <x v="2"/>
  </r>
  <r>
    <x v="24"/>
    <x v="21"/>
    <x v="2"/>
    <d v="2024-02-19T00:00:00"/>
    <s v="Surface"/>
    <x v="2"/>
    <x v="2"/>
    <x v="24"/>
    <x v="2"/>
  </r>
  <r>
    <x v="25"/>
    <x v="22"/>
    <x v="0"/>
    <d v="2024-06-15T00:00:00"/>
    <s v="Component"/>
    <x v="2"/>
    <x v="0"/>
    <x v="25"/>
    <x v="0"/>
  </r>
  <r>
    <x v="26"/>
    <x v="23"/>
    <x v="2"/>
    <d v="2024-05-08T00:00:00"/>
    <s v="Component"/>
    <x v="2"/>
    <x v="2"/>
    <x v="26"/>
    <x v="4"/>
  </r>
  <r>
    <x v="27"/>
    <x v="24"/>
    <x v="0"/>
    <d v="2024-01-02T00:00:00"/>
    <s v="Component"/>
    <x v="1"/>
    <x v="2"/>
    <x v="27"/>
    <x v="5"/>
  </r>
  <r>
    <x v="28"/>
    <x v="25"/>
    <x v="0"/>
    <d v="2024-01-13T00:00:00"/>
    <s v="Component"/>
    <x v="2"/>
    <x v="1"/>
    <x v="28"/>
    <x v="5"/>
  </r>
  <r>
    <x v="29"/>
    <x v="5"/>
    <x v="1"/>
    <d v="2024-01-22T00:00:00"/>
    <s v="Surface"/>
    <x v="1"/>
    <x v="0"/>
    <x v="29"/>
    <x v="5"/>
  </r>
  <r>
    <x v="30"/>
    <x v="8"/>
    <x v="0"/>
    <d v="2024-04-30T00:00:00"/>
    <s v="Surface"/>
    <x v="1"/>
    <x v="1"/>
    <x v="30"/>
    <x v="1"/>
  </r>
  <r>
    <x v="31"/>
    <x v="26"/>
    <x v="0"/>
    <d v="2024-03-29T00:00:00"/>
    <s v="Surface"/>
    <x v="2"/>
    <x v="0"/>
    <x v="31"/>
    <x v="3"/>
  </r>
  <r>
    <x v="32"/>
    <x v="4"/>
    <x v="2"/>
    <d v="2024-05-15T00:00:00"/>
    <s v="Internal"/>
    <x v="0"/>
    <x v="0"/>
    <x v="32"/>
    <x v="4"/>
  </r>
  <r>
    <x v="33"/>
    <x v="27"/>
    <x v="0"/>
    <d v="2024-06-19T00:00:00"/>
    <s v="Surface"/>
    <x v="1"/>
    <x v="2"/>
    <x v="33"/>
    <x v="0"/>
  </r>
  <r>
    <x v="34"/>
    <x v="28"/>
    <x v="1"/>
    <d v="2024-04-04T00:00:00"/>
    <s v="Component"/>
    <x v="1"/>
    <x v="1"/>
    <x v="34"/>
    <x v="1"/>
  </r>
  <r>
    <x v="35"/>
    <x v="9"/>
    <x v="0"/>
    <d v="2024-06-04T00:00:00"/>
    <s v="Surface"/>
    <x v="1"/>
    <x v="1"/>
    <x v="35"/>
    <x v="0"/>
  </r>
  <r>
    <x v="36"/>
    <x v="29"/>
    <x v="2"/>
    <d v="2024-01-20T00:00:00"/>
    <s v="Internal"/>
    <x v="1"/>
    <x v="2"/>
    <x v="36"/>
    <x v="5"/>
  </r>
  <r>
    <x v="37"/>
    <x v="30"/>
    <x v="1"/>
    <d v="2024-06-08T00:00:00"/>
    <s v="Internal"/>
    <x v="2"/>
    <x v="1"/>
    <x v="37"/>
    <x v="0"/>
  </r>
  <r>
    <x v="38"/>
    <x v="31"/>
    <x v="1"/>
    <d v="2024-06-25T00:00:00"/>
    <s v="Internal"/>
    <x v="1"/>
    <x v="2"/>
    <x v="38"/>
    <x v="0"/>
  </r>
  <r>
    <x v="39"/>
    <x v="32"/>
    <x v="2"/>
    <d v="2024-01-06T00:00:00"/>
    <s v="Surface"/>
    <x v="1"/>
    <x v="0"/>
    <x v="39"/>
    <x v="5"/>
  </r>
  <r>
    <x v="40"/>
    <x v="16"/>
    <x v="1"/>
    <d v="2024-03-11T00:00:00"/>
    <s v="Component"/>
    <x v="0"/>
    <x v="2"/>
    <x v="40"/>
    <x v="3"/>
  </r>
  <r>
    <x v="41"/>
    <x v="33"/>
    <x v="1"/>
    <d v="2024-05-18T00:00:00"/>
    <s v="Surface"/>
    <x v="1"/>
    <x v="1"/>
    <x v="41"/>
    <x v="4"/>
  </r>
  <r>
    <x v="42"/>
    <x v="13"/>
    <x v="2"/>
    <d v="2024-03-23T00:00:00"/>
    <s v="Surface"/>
    <x v="2"/>
    <x v="0"/>
    <x v="42"/>
    <x v="3"/>
  </r>
  <r>
    <x v="43"/>
    <x v="34"/>
    <x v="0"/>
    <d v="2024-05-18T00:00:00"/>
    <s v="Surface"/>
    <x v="0"/>
    <x v="0"/>
    <x v="43"/>
    <x v="4"/>
  </r>
  <r>
    <x v="44"/>
    <x v="35"/>
    <x v="1"/>
    <d v="2024-05-27T00:00:00"/>
    <s v="Surface"/>
    <x v="0"/>
    <x v="1"/>
    <x v="44"/>
    <x v="4"/>
  </r>
  <r>
    <x v="45"/>
    <x v="36"/>
    <x v="0"/>
    <d v="2024-04-24T00:00:00"/>
    <s v="Surface"/>
    <x v="2"/>
    <x v="2"/>
    <x v="45"/>
    <x v="1"/>
  </r>
  <r>
    <x v="46"/>
    <x v="37"/>
    <x v="0"/>
    <d v="2024-02-14T00:00:00"/>
    <s v="Component"/>
    <x v="1"/>
    <x v="2"/>
    <x v="46"/>
    <x v="2"/>
  </r>
  <r>
    <x v="47"/>
    <x v="36"/>
    <x v="0"/>
    <d v="2024-01-03T00:00:00"/>
    <s v="Component"/>
    <x v="2"/>
    <x v="2"/>
    <x v="47"/>
    <x v="5"/>
  </r>
  <r>
    <x v="48"/>
    <x v="38"/>
    <x v="1"/>
    <d v="2024-02-24T00:00:00"/>
    <s v="Component"/>
    <x v="0"/>
    <x v="1"/>
    <x v="48"/>
    <x v="2"/>
  </r>
  <r>
    <x v="49"/>
    <x v="39"/>
    <x v="1"/>
    <d v="2024-01-06T00:00:00"/>
    <s v="Component"/>
    <x v="2"/>
    <x v="2"/>
    <x v="49"/>
    <x v="5"/>
  </r>
  <r>
    <x v="50"/>
    <x v="3"/>
    <x v="0"/>
    <d v="2024-06-26T00:00:00"/>
    <s v="Internal"/>
    <x v="0"/>
    <x v="0"/>
    <x v="50"/>
    <x v="0"/>
  </r>
  <r>
    <x v="51"/>
    <x v="40"/>
    <x v="0"/>
    <d v="2024-05-19T00:00:00"/>
    <s v="Surface"/>
    <x v="0"/>
    <x v="2"/>
    <x v="51"/>
    <x v="4"/>
  </r>
  <r>
    <x v="52"/>
    <x v="18"/>
    <x v="1"/>
    <d v="2024-01-03T00:00:00"/>
    <s v="Surface"/>
    <x v="1"/>
    <x v="1"/>
    <x v="52"/>
    <x v="5"/>
  </r>
  <r>
    <x v="53"/>
    <x v="41"/>
    <x v="2"/>
    <d v="2024-05-14T00:00:00"/>
    <s v="Component"/>
    <x v="2"/>
    <x v="0"/>
    <x v="53"/>
    <x v="4"/>
  </r>
  <r>
    <x v="54"/>
    <x v="42"/>
    <x v="0"/>
    <d v="2024-03-23T00:00:00"/>
    <s v="Internal"/>
    <x v="1"/>
    <x v="1"/>
    <x v="54"/>
    <x v="3"/>
  </r>
  <r>
    <x v="55"/>
    <x v="43"/>
    <x v="0"/>
    <d v="2024-01-19T00:00:00"/>
    <s v="Surface"/>
    <x v="0"/>
    <x v="1"/>
    <x v="55"/>
    <x v="5"/>
  </r>
  <r>
    <x v="56"/>
    <x v="11"/>
    <x v="0"/>
    <d v="2024-03-06T00:00:00"/>
    <s v="Internal"/>
    <x v="2"/>
    <x v="1"/>
    <x v="56"/>
    <x v="3"/>
  </r>
  <r>
    <x v="57"/>
    <x v="44"/>
    <x v="2"/>
    <d v="2024-05-25T00:00:00"/>
    <s v="Component"/>
    <x v="1"/>
    <x v="2"/>
    <x v="57"/>
    <x v="4"/>
  </r>
  <r>
    <x v="58"/>
    <x v="37"/>
    <x v="0"/>
    <d v="2024-03-10T00:00:00"/>
    <s v="Internal"/>
    <x v="1"/>
    <x v="1"/>
    <x v="58"/>
    <x v="3"/>
  </r>
  <r>
    <x v="59"/>
    <x v="12"/>
    <x v="1"/>
    <d v="2024-02-18T00:00:00"/>
    <s v="Surface"/>
    <x v="0"/>
    <x v="0"/>
    <x v="59"/>
    <x v="2"/>
  </r>
  <r>
    <x v="60"/>
    <x v="23"/>
    <x v="0"/>
    <d v="2024-06-11T00:00:00"/>
    <s v="Component"/>
    <x v="1"/>
    <x v="0"/>
    <x v="60"/>
    <x v="0"/>
  </r>
  <r>
    <x v="61"/>
    <x v="45"/>
    <x v="2"/>
    <d v="2024-03-08T00:00:00"/>
    <s v="Component"/>
    <x v="2"/>
    <x v="0"/>
    <x v="61"/>
    <x v="3"/>
  </r>
  <r>
    <x v="62"/>
    <x v="46"/>
    <x v="0"/>
    <d v="2024-01-02T00:00:00"/>
    <s v="Surface"/>
    <x v="1"/>
    <x v="2"/>
    <x v="62"/>
    <x v="5"/>
  </r>
  <r>
    <x v="63"/>
    <x v="47"/>
    <x v="2"/>
    <d v="2024-01-11T00:00:00"/>
    <s v="Surface"/>
    <x v="0"/>
    <x v="1"/>
    <x v="63"/>
    <x v="5"/>
  </r>
  <r>
    <x v="64"/>
    <x v="48"/>
    <x v="1"/>
    <d v="2024-04-16T00:00:00"/>
    <s v="Component"/>
    <x v="1"/>
    <x v="0"/>
    <x v="64"/>
    <x v="1"/>
  </r>
  <r>
    <x v="65"/>
    <x v="49"/>
    <x v="1"/>
    <d v="2024-05-24T00:00:00"/>
    <s v="Internal"/>
    <x v="0"/>
    <x v="0"/>
    <x v="65"/>
    <x v="4"/>
  </r>
  <r>
    <x v="66"/>
    <x v="12"/>
    <x v="1"/>
    <d v="2024-03-15T00:00:00"/>
    <s v="Internal"/>
    <x v="0"/>
    <x v="1"/>
    <x v="66"/>
    <x v="3"/>
  </r>
  <r>
    <x v="67"/>
    <x v="50"/>
    <x v="2"/>
    <d v="2024-04-16T00:00:00"/>
    <s v="Internal"/>
    <x v="0"/>
    <x v="1"/>
    <x v="67"/>
    <x v="1"/>
  </r>
  <r>
    <x v="68"/>
    <x v="20"/>
    <x v="2"/>
    <d v="2024-05-19T00:00:00"/>
    <s v="Component"/>
    <x v="2"/>
    <x v="1"/>
    <x v="68"/>
    <x v="4"/>
  </r>
  <r>
    <x v="69"/>
    <x v="5"/>
    <x v="1"/>
    <d v="2024-02-19T00:00:00"/>
    <s v="Component"/>
    <x v="0"/>
    <x v="2"/>
    <x v="69"/>
    <x v="2"/>
  </r>
  <r>
    <x v="70"/>
    <x v="51"/>
    <x v="2"/>
    <d v="2024-03-05T00:00:00"/>
    <s v="Surface"/>
    <x v="2"/>
    <x v="1"/>
    <x v="70"/>
    <x v="3"/>
  </r>
  <r>
    <x v="71"/>
    <x v="52"/>
    <x v="0"/>
    <d v="2024-06-29T00:00:00"/>
    <s v="Component"/>
    <x v="2"/>
    <x v="1"/>
    <x v="71"/>
    <x v="0"/>
  </r>
  <r>
    <x v="72"/>
    <x v="0"/>
    <x v="1"/>
    <d v="2024-05-20T00:00:00"/>
    <s v="Internal"/>
    <x v="0"/>
    <x v="0"/>
    <x v="72"/>
    <x v="4"/>
  </r>
  <r>
    <x v="73"/>
    <x v="45"/>
    <x v="1"/>
    <d v="2024-04-04T00:00:00"/>
    <s v="Component"/>
    <x v="1"/>
    <x v="0"/>
    <x v="73"/>
    <x v="1"/>
  </r>
  <r>
    <x v="74"/>
    <x v="47"/>
    <x v="1"/>
    <d v="2024-01-03T00:00:00"/>
    <s v="Component"/>
    <x v="1"/>
    <x v="2"/>
    <x v="74"/>
    <x v="5"/>
  </r>
  <r>
    <x v="75"/>
    <x v="36"/>
    <x v="1"/>
    <d v="2024-03-27T00:00:00"/>
    <s v="Surface"/>
    <x v="0"/>
    <x v="2"/>
    <x v="75"/>
    <x v="3"/>
  </r>
  <r>
    <x v="76"/>
    <x v="35"/>
    <x v="1"/>
    <d v="2024-02-06T00:00:00"/>
    <s v="Component"/>
    <x v="1"/>
    <x v="2"/>
    <x v="76"/>
    <x v="2"/>
  </r>
  <r>
    <x v="77"/>
    <x v="17"/>
    <x v="1"/>
    <d v="2024-06-20T00:00:00"/>
    <s v="Component"/>
    <x v="1"/>
    <x v="1"/>
    <x v="77"/>
    <x v="0"/>
  </r>
  <r>
    <x v="78"/>
    <x v="53"/>
    <x v="0"/>
    <d v="2024-03-23T00:00:00"/>
    <s v="Internal"/>
    <x v="2"/>
    <x v="0"/>
    <x v="78"/>
    <x v="3"/>
  </r>
  <r>
    <x v="79"/>
    <x v="54"/>
    <x v="0"/>
    <d v="2024-01-11T00:00:00"/>
    <s v="Surface"/>
    <x v="2"/>
    <x v="1"/>
    <x v="79"/>
    <x v="5"/>
  </r>
  <r>
    <x v="80"/>
    <x v="53"/>
    <x v="1"/>
    <d v="2024-03-14T00:00:00"/>
    <s v="Surface"/>
    <x v="0"/>
    <x v="2"/>
    <x v="80"/>
    <x v="3"/>
  </r>
  <r>
    <x v="81"/>
    <x v="14"/>
    <x v="0"/>
    <d v="2024-04-02T00:00:00"/>
    <s v="Component"/>
    <x v="1"/>
    <x v="1"/>
    <x v="81"/>
    <x v="1"/>
  </r>
  <r>
    <x v="82"/>
    <x v="53"/>
    <x v="0"/>
    <d v="2024-04-11T00:00:00"/>
    <s v="Surface"/>
    <x v="1"/>
    <x v="0"/>
    <x v="82"/>
    <x v="1"/>
  </r>
  <r>
    <x v="83"/>
    <x v="50"/>
    <x v="0"/>
    <d v="2024-06-24T00:00:00"/>
    <s v="Component"/>
    <x v="1"/>
    <x v="2"/>
    <x v="83"/>
    <x v="0"/>
  </r>
  <r>
    <x v="84"/>
    <x v="32"/>
    <x v="0"/>
    <d v="2024-04-27T00:00:00"/>
    <s v="Component"/>
    <x v="0"/>
    <x v="2"/>
    <x v="84"/>
    <x v="1"/>
  </r>
  <r>
    <x v="85"/>
    <x v="55"/>
    <x v="0"/>
    <d v="2024-01-14T00:00:00"/>
    <s v="Component"/>
    <x v="2"/>
    <x v="1"/>
    <x v="85"/>
    <x v="5"/>
  </r>
  <r>
    <x v="86"/>
    <x v="48"/>
    <x v="0"/>
    <d v="2024-01-21T00:00:00"/>
    <s v="Component"/>
    <x v="2"/>
    <x v="2"/>
    <x v="86"/>
    <x v="5"/>
  </r>
  <r>
    <x v="87"/>
    <x v="39"/>
    <x v="1"/>
    <d v="2024-02-09T00:00:00"/>
    <s v="Component"/>
    <x v="1"/>
    <x v="0"/>
    <x v="87"/>
    <x v="2"/>
  </r>
  <r>
    <x v="88"/>
    <x v="1"/>
    <x v="1"/>
    <d v="2024-05-01T00:00:00"/>
    <s v="Surface"/>
    <x v="2"/>
    <x v="0"/>
    <x v="88"/>
    <x v="4"/>
  </r>
  <r>
    <x v="89"/>
    <x v="27"/>
    <x v="0"/>
    <d v="2024-02-17T00:00:00"/>
    <s v="Internal"/>
    <x v="2"/>
    <x v="0"/>
    <x v="89"/>
    <x v="2"/>
  </r>
  <r>
    <x v="90"/>
    <x v="56"/>
    <x v="2"/>
    <d v="2024-03-07T00:00:00"/>
    <s v="Surface"/>
    <x v="1"/>
    <x v="2"/>
    <x v="90"/>
    <x v="3"/>
  </r>
  <r>
    <x v="91"/>
    <x v="57"/>
    <x v="1"/>
    <d v="2024-06-30T00:00:00"/>
    <s v="Component"/>
    <x v="2"/>
    <x v="1"/>
    <x v="91"/>
    <x v="0"/>
  </r>
  <r>
    <x v="92"/>
    <x v="3"/>
    <x v="1"/>
    <d v="2024-04-01T00:00:00"/>
    <s v="Surface"/>
    <x v="0"/>
    <x v="1"/>
    <x v="92"/>
    <x v="1"/>
  </r>
  <r>
    <x v="93"/>
    <x v="13"/>
    <x v="2"/>
    <d v="2024-02-02T00:00:00"/>
    <s v="Internal"/>
    <x v="1"/>
    <x v="0"/>
    <x v="93"/>
    <x v="2"/>
  </r>
  <r>
    <x v="94"/>
    <x v="36"/>
    <x v="2"/>
    <d v="2024-05-16T00:00:00"/>
    <s v="Component"/>
    <x v="2"/>
    <x v="2"/>
    <x v="94"/>
    <x v="4"/>
  </r>
  <r>
    <x v="95"/>
    <x v="50"/>
    <x v="0"/>
    <d v="2024-03-08T00:00:00"/>
    <s v="Component"/>
    <x v="1"/>
    <x v="2"/>
    <x v="95"/>
    <x v="3"/>
  </r>
  <r>
    <x v="96"/>
    <x v="58"/>
    <x v="0"/>
    <d v="2024-03-15T00:00:00"/>
    <s v="Component"/>
    <x v="2"/>
    <x v="1"/>
    <x v="96"/>
    <x v="3"/>
  </r>
  <r>
    <x v="97"/>
    <x v="19"/>
    <x v="2"/>
    <d v="2024-03-10T00:00:00"/>
    <s v="Component"/>
    <x v="2"/>
    <x v="0"/>
    <x v="97"/>
    <x v="3"/>
  </r>
  <r>
    <x v="98"/>
    <x v="19"/>
    <x v="0"/>
    <d v="2024-04-08T00:00:00"/>
    <s v="Component"/>
    <x v="1"/>
    <x v="0"/>
    <x v="98"/>
    <x v="1"/>
  </r>
  <r>
    <x v="99"/>
    <x v="59"/>
    <x v="1"/>
    <d v="2024-04-24T00:00:00"/>
    <s v="Surface"/>
    <x v="0"/>
    <x v="0"/>
    <x v="99"/>
    <x v="1"/>
  </r>
  <r>
    <x v="100"/>
    <x v="60"/>
    <x v="0"/>
    <d v="2024-01-25T00:00:00"/>
    <s v="Internal"/>
    <x v="0"/>
    <x v="2"/>
    <x v="100"/>
    <x v="5"/>
  </r>
  <r>
    <x v="101"/>
    <x v="37"/>
    <x v="0"/>
    <d v="2024-06-25T00:00:00"/>
    <s v="Internal"/>
    <x v="1"/>
    <x v="0"/>
    <x v="101"/>
    <x v="0"/>
  </r>
  <r>
    <x v="102"/>
    <x v="12"/>
    <x v="1"/>
    <d v="2024-05-31T00:00:00"/>
    <s v="Internal"/>
    <x v="1"/>
    <x v="0"/>
    <x v="102"/>
    <x v="4"/>
  </r>
  <r>
    <x v="103"/>
    <x v="61"/>
    <x v="0"/>
    <d v="2024-06-25T00:00:00"/>
    <s v="Surface"/>
    <x v="0"/>
    <x v="2"/>
    <x v="103"/>
    <x v="0"/>
  </r>
  <r>
    <x v="104"/>
    <x v="33"/>
    <x v="0"/>
    <d v="2024-04-30T00:00:00"/>
    <s v="Component"/>
    <x v="1"/>
    <x v="0"/>
    <x v="104"/>
    <x v="1"/>
  </r>
  <r>
    <x v="105"/>
    <x v="39"/>
    <x v="1"/>
    <d v="2024-05-14T00:00:00"/>
    <s v="Surface"/>
    <x v="2"/>
    <x v="2"/>
    <x v="105"/>
    <x v="4"/>
  </r>
  <r>
    <x v="106"/>
    <x v="16"/>
    <x v="0"/>
    <d v="2024-06-28T00:00:00"/>
    <s v="Surface"/>
    <x v="1"/>
    <x v="1"/>
    <x v="106"/>
    <x v="0"/>
  </r>
  <r>
    <x v="107"/>
    <x v="62"/>
    <x v="2"/>
    <d v="2024-01-26T00:00:00"/>
    <s v="Surface"/>
    <x v="2"/>
    <x v="2"/>
    <x v="107"/>
    <x v="5"/>
  </r>
  <r>
    <x v="108"/>
    <x v="61"/>
    <x v="2"/>
    <d v="2024-02-22T00:00:00"/>
    <s v="Component"/>
    <x v="1"/>
    <x v="1"/>
    <x v="108"/>
    <x v="2"/>
  </r>
  <r>
    <x v="109"/>
    <x v="63"/>
    <x v="1"/>
    <d v="2024-03-05T00:00:00"/>
    <s v="Surface"/>
    <x v="0"/>
    <x v="0"/>
    <x v="109"/>
    <x v="3"/>
  </r>
  <r>
    <x v="110"/>
    <x v="60"/>
    <x v="0"/>
    <d v="2024-05-06T00:00:00"/>
    <s v="Component"/>
    <x v="2"/>
    <x v="2"/>
    <x v="110"/>
    <x v="4"/>
  </r>
  <r>
    <x v="111"/>
    <x v="39"/>
    <x v="2"/>
    <d v="2024-01-12T00:00:00"/>
    <s v="Component"/>
    <x v="0"/>
    <x v="1"/>
    <x v="111"/>
    <x v="5"/>
  </r>
  <r>
    <x v="112"/>
    <x v="19"/>
    <x v="2"/>
    <d v="2024-04-08T00:00:00"/>
    <s v="Surface"/>
    <x v="0"/>
    <x v="1"/>
    <x v="112"/>
    <x v="1"/>
  </r>
  <r>
    <x v="113"/>
    <x v="64"/>
    <x v="1"/>
    <d v="2024-01-25T00:00:00"/>
    <s v="Component"/>
    <x v="1"/>
    <x v="2"/>
    <x v="113"/>
    <x v="5"/>
  </r>
  <r>
    <x v="114"/>
    <x v="65"/>
    <x v="1"/>
    <d v="2024-04-30T00:00:00"/>
    <s v="Internal"/>
    <x v="2"/>
    <x v="0"/>
    <x v="114"/>
    <x v="1"/>
  </r>
  <r>
    <x v="115"/>
    <x v="36"/>
    <x v="2"/>
    <d v="2024-01-09T00:00:00"/>
    <s v="Internal"/>
    <x v="1"/>
    <x v="0"/>
    <x v="115"/>
    <x v="5"/>
  </r>
  <r>
    <x v="116"/>
    <x v="35"/>
    <x v="2"/>
    <d v="2024-01-11T00:00:00"/>
    <s v="Surface"/>
    <x v="2"/>
    <x v="0"/>
    <x v="116"/>
    <x v="5"/>
  </r>
  <r>
    <x v="117"/>
    <x v="65"/>
    <x v="0"/>
    <d v="2024-04-10T00:00:00"/>
    <s v="Surface"/>
    <x v="1"/>
    <x v="2"/>
    <x v="117"/>
    <x v="1"/>
  </r>
  <r>
    <x v="118"/>
    <x v="66"/>
    <x v="0"/>
    <d v="2024-03-05T00:00:00"/>
    <s v="Surface"/>
    <x v="0"/>
    <x v="0"/>
    <x v="118"/>
    <x v="3"/>
  </r>
  <r>
    <x v="119"/>
    <x v="67"/>
    <x v="1"/>
    <d v="2024-03-08T00:00:00"/>
    <s v="Component"/>
    <x v="1"/>
    <x v="2"/>
    <x v="119"/>
    <x v="3"/>
  </r>
  <r>
    <x v="120"/>
    <x v="11"/>
    <x v="0"/>
    <d v="2024-06-09T00:00:00"/>
    <s v="Internal"/>
    <x v="0"/>
    <x v="2"/>
    <x v="120"/>
    <x v="0"/>
  </r>
  <r>
    <x v="121"/>
    <x v="30"/>
    <x v="0"/>
    <d v="2024-04-16T00:00:00"/>
    <s v="Surface"/>
    <x v="1"/>
    <x v="2"/>
    <x v="121"/>
    <x v="1"/>
  </r>
  <r>
    <x v="122"/>
    <x v="37"/>
    <x v="2"/>
    <d v="2024-02-04T00:00:00"/>
    <s v="Internal"/>
    <x v="0"/>
    <x v="2"/>
    <x v="122"/>
    <x v="2"/>
  </r>
  <r>
    <x v="123"/>
    <x v="68"/>
    <x v="1"/>
    <d v="2024-03-27T00:00:00"/>
    <s v="Internal"/>
    <x v="2"/>
    <x v="2"/>
    <x v="123"/>
    <x v="3"/>
  </r>
  <r>
    <x v="124"/>
    <x v="11"/>
    <x v="2"/>
    <d v="2024-03-10T00:00:00"/>
    <s v="Surface"/>
    <x v="1"/>
    <x v="0"/>
    <x v="124"/>
    <x v="3"/>
  </r>
  <r>
    <x v="125"/>
    <x v="42"/>
    <x v="0"/>
    <d v="2024-02-01T00:00:00"/>
    <s v="Surface"/>
    <x v="0"/>
    <x v="0"/>
    <x v="125"/>
    <x v="2"/>
  </r>
  <r>
    <x v="126"/>
    <x v="29"/>
    <x v="2"/>
    <d v="2024-05-19T00:00:00"/>
    <s v="Surface"/>
    <x v="0"/>
    <x v="2"/>
    <x v="126"/>
    <x v="4"/>
  </r>
  <r>
    <x v="127"/>
    <x v="32"/>
    <x v="2"/>
    <d v="2024-03-02T00:00:00"/>
    <s v="Internal"/>
    <x v="2"/>
    <x v="1"/>
    <x v="127"/>
    <x v="3"/>
  </r>
  <r>
    <x v="128"/>
    <x v="4"/>
    <x v="2"/>
    <d v="2024-06-20T00:00:00"/>
    <s v="Surface"/>
    <x v="1"/>
    <x v="0"/>
    <x v="128"/>
    <x v="0"/>
  </r>
  <r>
    <x v="129"/>
    <x v="13"/>
    <x v="2"/>
    <d v="2024-04-06T00:00:00"/>
    <s v="Internal"/>
    <x v="1"/>
    <x v="1"/>
    <x v="129"/>
    <x v="1"/>
  </r>
  <r>
    <x v="130"/>
    <x v="69"/>
    <x v="1"/>
    <d v="2024-05-15T00:00:00"/>
    <s v="Internal"/>
    <x v="1"/>
    <x v="0"/>
    <x v="130"/>
    <x v="4"/>
  </r>
  <r>
    <x v="131"/>
    <x v="16"/>
    <x v="0"/>
    <d v="2024-04-23T00:00:00"/>
    <s v="Surface"/>
    <x v="1"/>
    <x v="0"/>
    <x v="131"/>
    <x v="1"/>
  </r>
  <r>
    <x v="132"/>
    <x v="11"/>
    <x v="0"/>
    <d v="2024-03-20T00:00:00"/>
    <s v="Surface"/>
    <x v="2"/>
    <x v="2"/>
    <x v="132"/>
    <x v="3"/>
  </r>
  <r>
    <x v="133"/>
    <x v="56"/>
    <x v="2"/>
    <d v="2024-02-03T00:00:00"/>
    <s v="Surface"/>
    <x v="2"/>
    <x v="0"/>
    <x v="133"/>
    <x v="2"/>
  </r>
  <r>
    <x v="134"/>
    <x v="69"/>
    <x v="2"/>
    <d v="2024-02-15T00:00:00"/>
    <s v="Internal"/>
    <x v="2"/>
    <x v="1"/>
    <x v="134"/>
    <x v="2"/>
  </r>
  <r>
    <x v="135"/>
    <x v="19"/>
    <x v="1"/>
    <d v="2024-02-21T00:00:00"/>
    <s v="Internal"/>
    <x v="0"/>
    <x v="1"/>
    <x v="135"/>
    <x v="2"/>
  </r>
  <r>
    <x v="136"/>
    <x v="47"/>
    <x v="1"/>
    <d v="2024-04-19T00:00:00"/>
    <s v="Internal"/>
    <x v="1"/>
    <x v="1"/>
    <x v="136"/>
    <x v="1"/>
  </r>
  <r>
    <x v="137"/>
    <x v="50"/>
    <x v="0"/>
    <d v="2024-03-05T00:00:00"/>
    <s v="Component"/>
    <x v="1"/>
    <x v="1"/>
    <x v="137"/>
    <x v="3"/>
  </r>
  <r>
    <x v="138"/>
    <x v="27"/>
    <x v="2"/>
    <d v="2024-06-24T00:00:00"/>
    <s v="Surface"/>
    <x v="1"/>
    <x v="0"/>
    <x v="138"/>
    <x v="0"/>
  </r>
  <r>
    <x v="139"/>
    <x v="29"/>
    <x v="1"/>
    <d v="2024-04-04T00:00:00"/>
    <s v="Internal"/>
    <x v="1"/>
    <x v="2"/>
    <x v="139"/>
    <x v="1"/>
  </r>
  <r>
    <x v="140"/>
    <x v="17"/>
    <x v="2"/>
    <d v="2024-01-06T00:00:00"/>
    <s v="Internal"/>
    <x v="0"/>
    <x v="0"/>
    <x v="140"/>
    <x v="5"/>
  </r>
  <r>
    <x v="141"/>
    <x v="16"/>
    <x v="0"/>
    <d v="2024-03-25T00:00:00"/>
    <s v="Internal"/>
    <x v="1"/>
    <x v="0"/>
    <x v="141"/>
    <x v="3"/>
  </r>
  <r>
    <x v="142"/>
    <x v="68"/>
    <x v="1"/>
    <d v="2024-05-27T00:00:00"/>
    <s v="Internal"/>
    <x v="2"/>
    <x v="2"/>
    <x v="142"/>
    <x v="4"/>
  </r>
  <r>
    <x v="143"/>
    <x v="10"/>
    <x v="2"/>
    <d v="2024-06-18T00:00:00"/>
    <s v="Internal"/>
    <x v="2"/>
    <x v="2"/>
    <x v="143"/>
    <x v="0"/>
  </r>
  <r>
    <x v="144"/>
    <x v="26"/>
    <x v="0"/>
    <d v="2024-01-16T00:00:00"/>
    <s v="Internal"/>
    <x v="0"/>
    <x v="2"/>
    <x v="144"/>
    <x v="5"/>
  </r>
  <r>
    <x v="145"/>
    <x v="45"/>
    <x v="2"/>
    <d v="2024-04-26T00:00:00"/>
    <s v="Internal"/>
    <x v="0"/>
    <x v="0"/>
    <x v="145"/>
    <x v="1"/>
  </r>
  <r>
    <x v="146"/>
    <x v="10"/>
    <x v="0"/>
    <d v="2024-04-05T00:00:00"/>
    <s v="Internal"/>
    <x v="1"/>
    <x v="1"/>
    <x v="146"/>
    <x v="1"/>
  </r>
  <r>
    <x v="147"/>
    <x v="2"/>
    <x v="2"/>
    <d v="2024-01-29T00:00:00"/>
    <s v="Internal"/>
    <x v="1"/>
    <x v="1"/>
    <x v="147"/>
    <x v="5"/>
  </r>
  <r>
    <x v="148"/>
    <x v="70"/>
    <x v="2"/>
    <d v="2024-01-25T00:00:00"/>
    <s v="Surface"/>
    <x v="2"/>
    <x v="1"/>
    <x v="148"/>
    <x v="5"/>
  </r>
  <r>
    <x v="149"/>
    <x v="15"/>
    <x v="1"/>
    <d v="2024-03-22T00:00:00"/>
    <s v="Surface"/>
    <x v="1"/>
    <x v="2"/>
    <x v="149"/>
    <x v="3"/>
  </r>
  <r>
    <x v="150"/>
    <x v="69"/>
    <x v="0"/>
    <d v="2024-06-07T00:00:00"/>
    <s v="Component"/>
    <x v="0"/>
    <x v="0"/>
    <x v="150"/>
    <x v="0"/>
  </r>
  <r>
    <x v="151"/>
    <x v="62"/>
    <x v="0"/>
    <d v="2024-01-27T00:00:00"/>
    <s v="Internal"/>
    <x v="2"/>
    <x v="2"/>
    <x v="151"/>
    <x v="5"/>
  </r>
  <r>
    <x v="152"/>
    <x v="16"/>
    <x v="2"/>
    <d v="2024-01-09T00:00:00"/>
    <s v="Surface"/>
    <x v="0"/>
    <x v="2"/>
    <x v="152"/>
    <x v="5"/>
  </r>
  <r>
    <x v="153"/>
    <x v="54"/>
    <x v="2"/>
    <d v="2024-05-03T00:00:00"/>
    <s v="Surface"/>
    <x v="2"/>
    <x v="1"/>
    <x v="153"/>
    <x v="4"/>
  </r>
  <r>
    <x v="154"/>
    <x v="3"/>
    <x v="0"/>
    <d v="2024-01-24T00:00:00"/>
    <s v="Component"/>
    <x v="0"/>
    <x v="0"/>
    <x v="154"/>
    <x v="5"/>
  </r>
  <r>
    <x v="155"/>
    <x v="58"/>
    <x v="1"/>
    <d v="2024-05-21T00:00:00"/>
    <s v="Internal"/>
    <x v="0"/>
    <x v="2"/>
    <x v="155"/>
    <x v="4"/>
  </r>
  <r>
    <x v="156"/>
    <x v="71"/>
    <x v="1"/>
    <d v="2024-05-07T00:00:00"/>
    <s v="Surface"/>
    <x v="0"/>
    <x v="2"/>
    <x v="156"/>
    <x v="4"/>
  </r>
  <r>
    <x v="157"/>
    <x v="71"/>
    <x v="1"/>
    <d v="2024-01-16T00:00:00"/>
    <s v="Surface"/>
    <x v="1"/>
    <x v="0"/>
    <x v="157"/>
    <x v="5"/>
  </r>
  <r>
    <x v="158"/>
    <x v="72"/>
    <x v="0"/>
    <d v="2024-05-19T00:00:00"/>
    <s v="Internal"/>
    <x v="2"/>
    <x v="1"/>
    <x v="158"/>
    <x v="4"/>
  </r>
  <r>
    <x v="159"/>
    <x v="73"/>
    <x v="0"/>
    <d v="2024-05-17T00:00:00"/>
    <s v="Surface"/>
    <x v="2"/>
    <x v="2"/>
    <x v="159"/>
    <x v="4"/>
  </r>
  <r>
    <x v="160"/>
    <x v="58"/>
    <x v="2"/>
    <d v="2024-05-21T00:00:00"/>
    <s v="Component"/>
    <x v="0"/>
    <x v="0"/>
    <x v="160"/>
    <x v="4"/>
  </r>
  <r>
    <x v="161"/>
    <x v="58"/>
    <x v="1"/>
    <d v="2024-02-09T00:00:00"/>
    <s v="Component"/>
    <x v="2"/>
    <x v="2"/>
    <x v="161"/>
    <x v="2"/>
  </r>
  <r>
    <x v="162"/>
    <x v="31"/>
    <x v="2"/>
    <d v="2024-01-30T00:00:00"/>
    <s v="Surface"/>
    <x v="0"/>
    <x v="2"/>
    <x v="162"/>
    <x v="5"/>
  </r>
  <r>
    <x v="163"/>
    <x v="1"/>
    <x v="0"/>
    <d v="2024-04-20T00:00:00"/>
    <s v="Internal"/>
    <x v="0"/>
    <x v="0"/>
    <x v="163"/>
    <x v="1"/>
  </r>
  <r>
    <x v="164"/>
    <x v="8"/>
    <x v="2"/>
    <d v="2024-05-06T00:00:00"/>
    <s v="Component"/>
    <x v="1"/>
    <x v="1"/>
    <x v="164"/>
    <x v="4"/>
  </r>
  <r>
    <x v="165"/>
    <x v="74"/>
    <x v="1"/>
    <d v="2024-02-15T00:00:00"/>
    <s v="Component"/>
    <x v="0"/>
    <x v="0"/>
    <x v="165"/>
    <x v="2"/>
  </r>
  <r>
    <x v="166"/>
    <x v="66"/>
    <x v="2"/>
    <d v="2024-01-27T00:00:00"/>
    <s v="Surface"/>
    <x v="2"/>
    <x v="1"/>
    <x v="166"/>
    <x v="5"/>
  </r>
  <r>
    <x v="167"/>
    <x v="4"/>
    <x v="0"/>
    <d v="2024-06-29T00:00:00"/>
    <s v="Surface"/>
    <x v="1"/>
    <x v="0"/>
    <x v="167"/>
    <x v="0"/>
  </r>
  <r>
    <x v="168"/>
    <x v="55"/>
    <x v="2"/>
    <d v="2024-06-03T00:00:00"/>
    <s v="Surface"/>
    <x v="1"/>
    <x v="2"/>
    <x v="168"/>
    <x v="0"/>
  </r>
  <r>
    <x v="169"/>
    <x v="75"/>
    <x v="1"/>
    <d v="2024-05-16T00:00:00"/>
    <s v="Internal"/>
    <x v="2"/>
    <x v="0"/>
    <x v="169"/>
    <x v="4"/>
  </r>
  <r>
    <x v="170"/>
    <x v="14"/>
    <x v="2"/>
    <d v="2024-04-26T00:00:00"/>
    <s v="Surface"/>
    <x v="2"/>
    <x v="2"/>
    <x v="170"/>
    <x v="1"/>
  </r>
  <r>
    <x v="171"/>
    <x v="26"/>
    <x v="2"/>
    <d v="2024-01-02T00:00:00"/>
    <s v="Component"/>
    <x v="1"/>
    <x v="1"/>
    <x v="171"/>
    <x v="5"/>
  </r>
  <r>
    <x v="172"/>
    <x v="14"/>
    <x v="2"/>
    <d v="2024-03-29T00:00:00"/>
    <s v="Component"/>
    <x v="2"/>
    <x v="1"/>
    <x v="172"/>
    <x v="3"/>
  </r>
  <r>
    <x v="173"/>
    <x v="30"/>
    <x v="1"/>
    <d v="2024-05-29T00:00:00"/>
    <s v="Surface"/>
    <x v="1"/>
    <x v="1"/>
    <x v="173"/>
    <x v="4"/>
  </r>
  <r>
    <x v="174"/>
    <x v="1"/>
    <x v="0"/>
    <d v="2024-02-19T00:00:00"/>
    <s v="Internal"/>
    <x v="2"/>
    <x v="2"/>
    <x v="174"/>
    <x v="2"/>
  </r>
  <r>
    <x v="175"/>
    <x v="21"/>
    <x v="0"/>
    <d v="2024-03-09T00:00:00"/>
    <s v="Surface"/>
    <x v="1"/>
    <x v="2"/>
    <x v="175"/>
    <x v="3"/>
  </r>
  <r>
    <x v="176"/>
    <x v="74"/>
    <x v="0"/>
    <d v="2024-01-21T00:00:00"/>
    <s v="Internal"/>
    <x v="0"/>
    <x v="2"/>
    <x v="176"/>
    <x v="5"/>
  </r>
  <r>
    <x v="177"/>
    <x v="30"/>
    <x v="1"/>
    <d v="2024-01-17T00:00:00"/>
    <s v="Internal"/>
    <x v="0"/>
    <x v="0"/>
    <x v="177"/>
    <x v="5"/>
  </r>
  <r>
    <x v="178"/>
    <x v="63"/>
    <x v="0"/>
    <d v="2024-04-23T00:00:00"/>
    <s v="Surface"/>
    <x v="2"/>
    <x v="1"/>
    <x v="178"/>
    <x v="1"/>
  </r>
  <r>
    <x v="179"/>
    <x v="35"/>
    <x v="0"/>
    <d v="2024-01-07T00:00:00"/>
    <s v="Component"/>
    <x v="0"/>
    <x v="2"/>
    <x v="179"/>
    <x v="5"/>
  </r>
  <r>
    <x v="180"/>
    <x v="73"/>
    <x v="1"/>
    <d v="2024-02-29T00:00:00"/>
    <s v="Internal"/>
    <x v="0"/>
    <x v="1"/>
    <x v="180"/>
    <x v="2"/>
  </r>
  <r>
    <x v="181"/>
    <x v="67"/>
    <x v="1"/>
    <d v="2024-01-27T00:00:00"/>
    <s v="Internal"/>
    <x v="2"/>
    <x v="2"/>
    <x v="181"/>
    <x v="5"/>
  </r>
  <r>
    <x v="182"/>
    <x v="59"/>
    <x v="0"/>
    <d v="2024-02-02T00:00:00"/>
    <s v="Component"/>
    <x v="1"/>
    <x v="0"/>
    <x v="182"/>
    <x v="2"/>
  </r>
  <r>
    <x v="183"/>
    <x v="4"/>
    <x v="1"/>
    <d v="2024-02-09T00:00:00"/>
    <s v="Internal"/>
    <x v="2"/>
    <x v="0"/>
    <x v="183"/>
    <x v="2"/>
  </r>
  <r>
    <x v="184"/>
    <x v="35"/>
    <x v="0"/>
    <d v="2024-01-15T00:00:00"/>
    <s v="Surface"/>
    <x v="2"/>
    <x v="1"/>
    <x v="184"/>
    <x v="5"/>
  </r>
  <r>
    <x v="185"/>
    <x v="76"/>
    <x v="0"/>
    <d v="2024-03-29T00:00:00"/>
    <s v="Component"/>
    <x v="1"/>
    <x v="2"/>
    <x v="185"/>
    <x v="3"/>
  </r>
  <r>
    <x v="186"/>
    <x v="21"/>
    <x v="2"/>
    <d v="2024-04-27T00:00:00"/>
    <s v="Internal"/>
    <x v="1"/>
    <x v="0"/>
    <x v="186"/>
    <x v="1"/>
  </r>
  <r>
    <x v="187"/>
    <x v="58"/>
    <x v="0"/>
    <d v="2024-06-02T00:00:00"/>
    <s v="Internal"/>
    <x v="2"/>
    <x v="1"/>
    <x v="187"/>
    <x v="0"/>
  </r>
  <r>
    <x v="188"/>
    <x v="77"/>
    <x v="2"/>
    <d v="2024-02-23T00:00:00"/>
    <s v="Surface"/>
    <x v="0"/>
    <x v="2"/>
    <x v="188"/>
    <x v="2"/>
  </r>
  <r>
    <x v="189"/>
    <x v="75"/>
    <x v="1"/>
    <d v="2024-06-22T00:00:00"/>
    <s v="Surface"/>
    <x v="1"/>
    <x v="1"/>
    <x v="189"/>
    <x v="0"/>
  </r>
  <r>
    <x v="190"/>
    <x v="67"/>
    <x v="2"/>
    <d v="2024-01-12T00:00:00"/>
    <s v="Surface"/>
    <x v="1"/>
    <x v="2"/>
    <x v="190"/>
    <x v="5"/>
  </r>
  <r>
    <x v="191"/>
    <x v="77"/>
    <x v="1"/>
    <d v="2024-03-21T00:00:00"/>
    <s v="Component"/>
    <x v="1"/>
    <x v="0"/>
    <x v="191"/>
    <x v="3"/>
  </r>
  <r>
    <x v="192"/>
    <x v="17"/>
    <x v="2"/>
    <d v="2024-05-21T00:00:00"/>
    <s v="Component"/>
    <x v="1"/>
    <x v="2"/>
    <x v="192"/>
    <x v="4"/>
  </r>
  <r>
    <x v="193"/>
    <x v="61"/>
    <x v="0"/>
    <d v="2024-03-03T00:00:00"/>
    <s v="Component"/>
    <x v="1"/>
    <x v="0"/>
    <x v="193"/>
    <x v="3"/>
  </r>
  <r>
    <x v="194"/>
    <x v="5"/>
    <x v="0"/>
    <d v="2024-02-18T00:00:00"/>
    <s v="Component"/>
    <x v="2"/>
    <x v="1"/>
    <x v="194"/>
    <x v="2"/>
  </r>
  <r>
    <x v="195"/>
    <x v="78"/>
    <x v="0"/>
    <d v="2024-06-21T00:00:00"/>
    <s v="Component"/>
    <x v="0"/>
    <x v="2"/>
    <x v="195"/>
    <x v="0"/>
  </r>
  <r>
    <x v="196"/>
    <x v="79"/>
    <x v="2"/>
    <d v="2024-05-28T00:00:00"/>
    <s v="Internal"/>
    <x v="2"/>
    <x v="1"/>
    <x v="196"/>
    <x v="4"/>
  </r>
  <r>
    <x v="197"/>
    <x v="17"/>
    <x v="2"/>
    <d v="2024-04-14T00:00:00"/>
    <s v="Surface"/>
    <x v="0"/>
    <x v="2"/>
    <x v="197"/>
    <x v="1"/>
  </r>
  <r>
    <x v="198"/>
    <x v="54"/>
    <x v="0"/>
    <d v="2024-01-30T00:00:00"/>
    <s v="Internal"/>
    <x v="2"/>
    <x v="0"/>
    <x v="198"/>
    <x v="5"/>
  </r>
  <r>
    <x v="199"/>
    <x v="80"/>
    <x v="2"/>
    <d v="2024-04-04T00:00:00"/>
    <s v="Surface"/>
    <x v="2"/>
    <x v="0"/>
    <x v="199"/>
    <x v="1"/>
  </r>
  <r>
    <x v="200"/>
    <x v="59"/>
    <x v="2"/>
    <d v="2024-01-04T00:00:00"/>
    <s v="Surface"/>
    <x v="1"/>
    <x v="1"/>
    <x v="200"/>
    <x v="5"/>
  </r>
  <r>
    <x v="201"/>
    <x v="62"/>
    <x v="0"/>
    <d v="2024-05-25T00:00:00"/>
    <s v="Surface"/>
    <x v="2"/>
    <x v="1"/>
    <x v="201"/>
    <x v="4"/>
  </r>
  <r>
    <x v="202"/>
    <x v="48"/>
    <x v="0"/>
    <d v="2024-04-05T00:00:00"/>
    <s v="Component"/>
    <x v="0"/>
    <x v="2"/>
    <x v="202"/>
    <x v="1"/>
  </r>
  <r>
    <x v="203"/>
    <x v="81"/>
    <x v="1"/>
    <d v="2024-01-20T00:00:00"/>
    <s v="Surface"/>
    <x v="2"/>
    <x v="0"/>
    <x v="203"/>
    <x v="5"/>
  </r>
  <r>
    <x v="204"/>
    <x v="5"/>
    <x v="0"/>
    <d v="2024-05-28T00:00:00"/>
    <s v="Component"/>
    <x v="1"/>
    <x v="1"/>
    <x v="204"/>
    <x v="4"/>
  </r>
  <r>
    <x v="205"/>
    <x v="82"/>
    <x v="1"/>
    <d v="2024-05-29T00:00:00"/>
    <s v="Surface"/>
    <x v="0"/>
    <x v="2"/>
    <x v="205"/>
    <x v="4"/>
  </r>
  <r>
    <x v="206"/>
    <x v="53"/>
    <x v="1"/>
    <d v="2024-04-22T00:00:00"/>
    <s v="Internal"/>
    <x v="1"/>
    <x v="1"/>
    <x v="206"/>
    <x v="1"/>
  </r>
  <r>
    <x v="207"/>
    <x v="48"/>
    <x v="1"/>
    <d v="2024-01-31T00:00:00"/>
    <s v="Surface"/>
    <x v="1"/>
    <x v="2"/>
    <x v="207"/>
    <x v="5"/>
  </r>
  <r>
    <x v="208"/>
    <x v="79"/>
    <x v="1"/>
    <d v="2024-05-20T00:00:00"/>
    <s v="Internal"/>
    <x v="2"/>
    <x v="2"/>
    <x v="208"/>
    <x v="4"/>
  </r>
  <r>
    <x v="209"/>
    <x v="82"/>
    <x v="1"/>
    <d v="2024-01-25T00:00:00"/>
    <s v="Surface"/>
    <x v="0"/>
    <x v="1"/>
    <x v="209"/>
    <x v="5"/>
  </r>
  <r>
    <x v="210"/>
    <x v="69"/>
    <x v="0"/>
    <d v="2024-03-12T00:00:00"/>
    <s v="Component"/>
    <x v="1"/>
    <x v="2"/>
    <x v="210"/>
    <x v="3"/>
  </r>
  <r>
    <x v="211"/>
    <x v="53"/>
    <x v="1"/>
    <d v="2024-05-07T00:00:00"/>
    <s v="Surface"/>
    <x v="2"/>
    <x v="1"/>
    <x v="211"/>
    <x v="4"/>
  </r>
  <r>
    <x v="212"/>
    <x v="54"/>
    <x v="2"/>
    <d v="2024-01-30T00:00:00"/>
    <s v="Internal"/>
    <x v="2"/>
    <x v="0"/>
    <x v="212"/>
    <x v="5"/>
  </r>
  <r>
    <x v="213"/>
    <x v="24"/>
    <x v="0"/>
    <d v="2024-01-02T00:00:00"/>
    <s v="Surface"/>
    <x v="0"/>
    <x v="2"/>
    <x v="213"/>
    <x v="5"/>
  </r>
  <r>
    <x v="214"/>
    <x v="83"/>
    <x v="1"/>
    <d v="2024-01-07T00:00:00"/>
    <s v="Internal"/>
    <x v="1"/>
    <x v="2"/>
    <x v="214"/>
    <x v="5"/>
  </r>
  <r>
    <x v="215"/>
    <x v="44"/>
    <x v="0"/>
    <d v="2024-01-13T00:00:00"/>
    <s v="Internal"/>
    <x v="2"/>
    <x v="0"/>
    <x v="215"/>
    <x v="5"/>
  </r>
  <r>
    <x v="216"/>
    <x v="3"/>
    <x v="2"/>
    <d v="2024-05-28T00:00:00"/>
    <s v="Surface"/>
    <x v="1"/>
    <x v="1"/>
    <x v="216"/>
    <x v="4"/>
  </r>
  <r>
    <x v="217"/>
    <x v="76"/>
    <x v="1"/>
    <d v="2024-05-10T00:00:00"/>
    <s v="Internal"/>
    <x v="1"/>
    <x v="0"/>
    <x v="217"/>
    <x v="4"/>
  </r>
  <r>
    <x v="218"/>
    <x v="32"/>
    <x v="2"/>
    <d v="2024-04-26T00:00:00"/>
    <s v="Component"/>
    <x v="1"/>
    <x v="2"/>
    <x v="218"/>
    <x v="1"/>
  </r>
  <r>
    <x v="219"/>
    <x v="42"/>
    <x v="1"/>
    <d v="2024-04-05T00:00:00"/>
    <s v="Surface"/>
    <x v="0"/>
    <x v="2"/>
    <x v="219"/>
    <x v="1"/>
  </r>
  <r>
    <x v="220"/>
    <x v="33"/>
    <x v="1"/>
    <d v="2024-06-11T00:00:00"/>
    <s v="Component"/>
    <x v="1"/>
    <x v="2"/>
    <x v="220"/>
    <x v="0"/>
  </r>
  <r>
    <x v="221"/>
    <x v="17"/>
    <x v="1"/>
    <d v="2024-02-12T00:00:00"/>
    <s v="Component"/>
    <x v="1"/>
    <x v="1"/>
    <x v="221"/>
    <x v="2"/>
  </r>
  <r>
    <x v="222"/>
    <x v="12"/>
    <x v="2"/>
    <d v="2024-01-26T00:00:00"/>
    <s v="Surface"/>
    <x v="1"/>
    <x v="2"/>
    <x v="222"/>
    <x v="5"/>
  </r>
  <r>
    <x v="223"/>
    <x v="30"/>
    <x v="1"/>
    <d v="2024-04-24T00:00:00"/>
    <s v="Component"/>
    <x v="1"/>
    <x v="2"/>
    <x v="223"/>
    <x v="1"/>
  </r>
  <r>
    <x v="224"/>
    <x v="35"/>
    <x v="0"/>
    <d v="2024-04-23T00:00:00"/>
    <s v="Component"/>
    <x v="2"/>
    <x v="0"/>
    <x v="224"/>
    <x v="1"/>
  </r>
  <r>
    <x v="225"/>
    <x v="72"/>
    <x v="2"/>
    <d v="2024-06-04T00:00:00"/>
    <s v="Internal"/>
    <x v="0"/>
    <x v="1"/>
    <x v="225"/>
    <x v="0"/>
  </r>
  <r>
    <x v="226"/>
    <x v="84"/>
    <x v="1"/>
    <d v="2024-06-23T00:00:00"/>
    <s v="Surface"/>
    <x v="0"/>
    <x v="0"/>
    <x v="226"/>
    <x v="0"/>
  </r>
  <r>
    <x v="227"/>
    <x v="85"/>
    <x v="1"/>
    <d v="2024-02-04T00:00:00"/>
    <s v="Component"/>
    <x v="2"/>
    <x v="2"/>
    <x v="227"/>
    <x v="2"/>
  </r>
  <r>
    <x v="228"/>
    <x v="8"/>
    <x v="1"/>
    <d v="2024-03-24T00:00:00"/>
    <s v="Surface"/>
    <x v="1"/>
    <x v="2"/>
    <x v="228"/>
    <x v="3"/>
  </r>
  <r>
    <x v="229"/>
    <x v="86"/>
    <x v="0"/>
    <d v="2024-01-28T00:00:00"/>
    <s v="Component"/>
    <x v="0"/>
    <x v="2"/>
    <x v="229"/>
    <x v="5"/>
  </r>
  <r>
    <x v="230"/>
    <x v="87"/>
    <x v="0"/>
    <d v="2024-03-11T00:00:00"/>
    <s v="Internal"/>
    <x v="2"/>
    <x v="2"/>
    <x v="230"/>
    <x v="3"/>
  </r>
  <r>
    <x v="231"/>
    <x v="14"/>
    <x v="1"/>
    <d v="2024-05-25T00:00:00"/>
    <s v="Component"/>
    <x v="1"/>
    <x v="1"/>
    <x v="231"/>
    <x v="4"/>
  </r>
  <r>
    <x v="232"/>
    <x v="15"/>
    <x v="0"/>
    <d v="2024-03-17T00:00:00"/>
    <s v="Surface"/>
    <x v="0"/>
    <x v="0"/>
    <x v="232"/>
    <x v="3"/>
  </r>
  <r>
    <x v="233"/>
    <x v="22"/>
    <x v="0"/>
    <d v="2024-02-17T00:00:00"/>
    <s v="Internal"/>
    <x v="0"/>
    <x v="1"/>
    <x v="233"/>
    <x v="2"/>
  </r>
  <r>
    <x v="234"/>
    <x v="75"/>
    <x v="2"/>
    <d v="2024-01-28T00:00:00"/>
    <s v="Internal"/>
    <x v="1"/>
    <x v="2"/>
    <x v="234"/>
    <x v="5"/>
  </r>
  <r>
    <x v="235"/>
    <x v="42"/>
    <x v="2"/>
    <d v="2024-05-05T00:00:00"/>
    <s v="Surface"/>
    <x v="0"/>
    <x v="1"/>
    <x v="235"/>
    <x v="4"/>
  </r>
  <r>
    <x v="236"/>
    <x v="49"/>
    <x v="2"/>
    <d v="2024-06-30T00:00:00"/>
    <s v="Component"/>
    <x v="2"/>
    <x v="0"/>
    <x v="236"/>
    <x v="0"/>
  </r>
  <r>
    <x v="237"/>
    <x v="54"/>
    <x v="0"/>
    <d v="2024-02-06T00:00:00"/>
    <s v="Component"/>
    <x v="1"/>
    <x v="0"/>
    <x v="237"/>
    <x v="2"/>
  </r>
  <r>
    <x v="238"/>
    <x v="86"/>
    <x v="1"/>
    <d v="2024-03-12T00:00:00"/>
    <s v="Surface"/>
    <x v="0"/>
    <x v="2"/>
    <x v="238"/>
    <x v="3"/>
  </r>
  <r>
    <x v="239"/>
    <x v="4"/>
    <x v="0"/>
    <d v="2024-05-04T00:00:00"/>
    <s v="Internal"/>
    <x v="2"/>
    <x v="0"/>
    <x v="239"/>
    <x v="4"/>
  </r>
  <r>
    <x v="240"/>
    <x v="67"/>
    <x v="0"/>
    <d v="2024-03-19T00:00:00"/>
    <s v="Surface"/>
    <x v="0"/>
    <x v="2"/>
    <x v="240"/>
    <x v="3"/>
  </r>
  <r>
    <x v="241"/>
    <x v="21"/>
    <x v="1"/>
    <d v="2024-02-08T00:00:00"/>
    <s v="Component"/>
    <x v="1"/>
    <x v="1"/>
    <x v="241"/>
    <x v="2"/>
  </r>
  <r>
    <x v="242"/>
    <x v="44"/>
    <x v="1"/>
    <d v="2024-06-18T00:00:00"/>
    <s v="Internal"/>
    <x v="2"/>
    <x v="2"/>
    <x v="242"/>
    <x v="0"/>
  </r>
  <r>
    <x v="243"/>
    <x v="19"/>
    <x v="0"/>
    <d v="2024-06-04T00:00:00"/>
    <s v="Surface"/>
    <x v="2"/>
    <x v="0"/>
    <x v="243"/>
    <x v="0"/>
  </r>
  <r>
    <x v="244"/>
    <x v="52"/>
    <x v="2"/>
    <d v="2024-05-27T00:00:00"/>
    <s v="Component"/>
    <x v="1"/>
    <x v="0"/>
    <x v="244"/>
    <x v="4"/>
  </r>
  <r>
    <x v="245"/>
    <x v="18"/>
    <x v="0"/>
    <d v="2024-03-30T00:00:00"/>
    <s v="Surface"/>
    <x v="0"/>
    <x v="1"/>
    <x v="245"/>
    <x v="3"/>
  </r>
  <r>
    <x v="246"/>
    <x v="34"/>
    <x v="2"/>
    <d v="2024-04-22T00:00:00"/>
    <s v="Internal"/>
    <x v="1"/>
    <x v="1"/>
    <x v="246"/>
    <x v="1"/>
  </r>
  <r>
    <x v="247"/>
    <x v="38"/>
    <x v="0"/>
    <d v="2024-03-27T00:00:00"/>
    <s v="Component"/>
    <x v="0"/>
    <x v="1"/>
    <x v="247"/>
    <x v="3"/>
  </r>
  <r>
    <x v="248"/>
    <x v="21"/>
    <x v="0"/>
    <d v="2024-05-16T00:00:00"/>
    <s v="Surface"/>
    <x v="2"/>
    <x v="2"/>
    <x v="248"/>
    <x v="4"/>
  </r>
  <r>
    <x v="249"/>
    <x v="38"/>
    <x v="2"/>
    <d v="2024-06-07T00:00:00"/>
    <s v="Component"/>
    <x v="2"/>
    <x v="2"/>
    <x v="249"/>
    <x v="0"/>
  </r>
  <r>
    <x v="250"/>
    <x v="20"/>
    <x v="0"/>
    <d v="2024-01-29T00:00:00"/>
    <s v="Component"/>
    <x v="2"/>
    <x v="1"/>
    <x v="250"/>
    <x v="5"/>
  </r>
  <r>
    <x v="251"/>
    <x v="32"/>
    <x v="2"/>
    <d v="2024-05-16T00:00:00"/>
    <s v="Internal"/>
    <x v="1"/>
    <x v="0"/>
    <x v="251"/>
    <x v="4"/>
  </r>
  <r>
    <x v="252"/>
    <x v="26"/>
    <x v="1"/>
    <d v="2024-05-01T00:00:00"/>
    <s v="Component"/>
    <x v="0"/>
    <x v="1"/>
    <x v="252"/>
    <x v="4"/>
  </r>
  <r>
    <x v="253"/>
    <x v="20"/>
    <x v="1"/>
    <d v="2024-05-02T00:00:00"/>
    <s v="Surface"/>
    <x v="0"/>
    <x v="1"/>
    <x v="253"/>
    <x v="4"/>
  </r>
  <r>
    <x v="254"/>
    <x v="16"/>
    <x v="2"/>
    <d v="2024-01-02T00:00:00"/>
    <s v="Internal"/>
    <x v="1"/>
    <x v="2"/>
    <x v="254"/>
    <x v="5"/>
  </r>
  <r>
    <x v="255"/>
    <x v="84"/>
    <x v="0"/>
    <d v="2024-06-18T00:00:00"/>
    <s v="Surface"/>
    <x v="0"/>
    <x v="2"/>
    <x v="255"/>
    <x v="0"/>
  </r>
  <r>
    <x v="256"/>
    <x v="87"/>
    <x v="0"/>
    <d v="2024-06-03T00:00:00"/>
    <s v="Surface"/>
    <x v="0"/>
    <x v="2"/>
    <x v="256"/>
    <x v="0"/>
  </r>
  <r>
    <x v="257"/>
    <x v="80"/>
    <x v="0"/>
    <d v="2024-05-07T00:00:00"/>
    <s v="Component"/>
    <x v="0"/>
    <x v="1"/>
    <x v="257"/>
    <x v="4"/>
  </r>
  <r>
    <x v="258"/>
    <x v="14"/>
    <x v="1"/>
    <d v="2024-03-20T00:00:00"/>
    <s v="Surface"/>
    <x v="2"/>
    <x v="2"/>
    <x v="258"/>
    <x v="3"/>
  </r>
  <r>
    <x v="259"/>
    <x v="55"/>
    <x v="0"/>
    <d v="2024-03-03T00:00:00"/>
    <s v="Surface"/>
    <x v="0"/>
    <x v="2"/>
    <x v="259"/>
    <x v="3"/>
  </r>
  <r>
    <x v="260"/>
    <x v="82"/>
    <x v="1"/>
    <d v="2024-03-02T00:00:00"/>
    <s v="Internal"/>
    <x v="0"/>
    <x v="2"/>
    <x v="260"/>
    <x v="3"/>
  </r>
  <r>
    <x v="261"/>
    <x v="72"/>
    <x v="1"/>
    <d v="2024-02-25T00:00:00"/>
    <s v="Surface"/>
    <x v="0"/>
    <x v="1"/>
    <x v="261"/>
    <x v="2"/>
  </r>
  <r>
    <x v="262"/>
    <x v="71"/>
    <x v="1"/>
    <d v="2024-05-03T00:00:00"/>
    <s v="Internal"/>
    <x v="0"/>
    <x v="2"/>
    <x v="262"/>
    <x v="4"/>
  </r>
  <r>
    <x v="263"/>
    <x v="22"/>
    <x v="0"/>
    <d v="2024-01-29T00:00:00"/>
    <s v="Surface"/>
    <x v="0"/>
    <x v="2"/>
    <x v="263"/>
    <x v="5"/>
  </r>
  <r>
    <x v="264"/>
    <x v="88"/>
    <x v="0"/>
    <d v="2024-06-08T00:00:00"/>
    <s v="Component"/>
    <x v="0"/>
    <x v="1"/>
    <x v="264"/>
    <x v="0"/>
  </r>
  <r>
    <x v="265"/>
    <x v="14"/>
    <x v="0"/>
    <d v="2024-06-22T00:00:00"/>
    <s v="Surface"/>
    <x v="1"/>
    <x v="2"/>
    <x v="265"/>
    <x v="0"/>
  </r>
  <r>
    <x v="266"/>
    <x v="89"/>
    <x v="1"/>
    <d v="2024-06-04T00:00:00"/>
    <s v="Surface"/>
    <x v="2"/>
    <x v="2"/>
    <x v="266"/>
    <x v="0"/>
  </r>
  <r>
    <x v="267"/>
    <x v="28"/>
    <x v="1"/>
    <d v="2024-01-05T00:00:00"/>
    <s v="Component"/>
    <x v="1"/>
    <x v="2"/>
    <x v="267"/>
    <x v="5"/>
  </r>
  <r>
    <x v="268"/>
    <x v="66"/>
    <x v="2"/>
    <d v="2024-03-09T00:00:00"/>
    <s v="Component"/>
    <x v="0"/>
    <x v="2"/>
    <x v="268"/>
    <x v="3"/>
  </r>
  <r>
    <x v="269"/>
    <x v="51"/>
    <x v="1"/>
    <d v="2024-04-05T00:00:00"/>
    <s v="Internal"/>
    <x v="1"/>
    <x v="0"/>
    <x v="269"/>
    <x v="1"/>
  </r>
  <r>
    <x v="270"/>
    <x v="90"/>
    <x v="2"/>
    <d v="2024-06-26T00:00:00"/>
    <s v="Surface"/>
    <x v="1"/>
    <x v="1"/>
    <x v="270"/>
    <x v="0"/>
  </r>
  <r>
    <x v="271"/>
    <x v="38"/>
    <x v="0"/>
    <d v="2024-04-09T00:00:00"/>
    <s v="Internal"/>
    <x v="0"/>
    <x v="2"/>
    <x v="271"/>
    <x v="1"/>
  </r>
  <r>
    <x v="272"/>
    <x v="91"/>
    <x v="0"/>
    <d v="2024-06-15T00:00:00"/>
    <s v="Surface"/>
    <x v="2"/>
    <x v="1"/>
    <x v="272"/>
    <x v="0"/>
  </r>
  <r>
    <x v="273"/>
    <x v="64"/>
    <x v="2"/>
    <d v="2024-02-05T00:00:00"/>
    <s v="Surface"/>
    <x v="1"/>
    <x v="2"/>
    <x v="273"/>
    <x v="2"/>
  </r>
  <r>
    <x v="274"/>
    <x v="51"/>
    <x v="1"/>
    <d v="2024-05-29T00:00:00"/>
    <s v="Surface"/>
    <x v="2"/>
    <x v="2"/>
    <x v="274"/>
    <x v="4"/>
  </r>
  <r>
    <x v="275"/>
    <x v="92"/>
    <x v="2"/>
    <d v="2024-01-13T00:00:00"/>
    <s v="Surface"/>
    <x v="2"/>
    <x v="2"/>
    <x v="275"/>
    <x v="5"/>
  </r>
  <r>
    <x v="276"/>
    <x v="58"/>
    <x v="1"/>
    <d v="2024-05-22T00:00:00"/>
    <s v="Internal"/>
    <x v="0"/>
    <x v="0"/>
    <x v="276"/>
    <x v="4"/>
  </r>
  <r>
    <x v="277"/>
    <x v="74"/>
    <x v="1"/>
    <d v="2024-06-22T00:00:00"/>
    <s v="Internal"/>
    <x v="0"/>
    <x v="2"/>
    <x v="277"/>
    <x v="0"/>
  </r>
  <r>
    <x v="278"/>
    <x v="93"/>
    <x v="0"/>
    <d v="2024-02-17T00:00:00"/>
    <s v="Internal"/>
    <x v="0"/>
    <x v="0"/>
    <x v="278"/>
    <x v="2"/>
  </r>
  <r>
    <x v="279"/>
    <x v="60"/>
    <x v="1"/>
    <d v="2024-04-23T00:00:00"/>
    <s v="Surface"/>
    <x v="1"/>
    <x v="0"/>
    <x v="279"/>
    <x v="1"/>
  </r>
  <r>
    <x v="280"/>
    <x v="53"/>
    <x v="2"/>
    <d v="2024-01-24T00:00:00"/>
    <s v="Surface"/>
    <x v="0"/>
    <x v="0"/>
    <x v="280"/>
    <x v="5"/>
  </r>
  <r>
    <x v="281"/>
    <x v="7"/>
    <x v="0"/>
    <d v="2024-05-20T00:00:00"/>
    <s v="Surface"/>
    <x v="0"/>
    <x v="2"/>
    <x v="281"/>
    <x v="4"/>
  </r>
  <r>
    <x v="282"/>
    <x v="16"/>
    <x v="2"/>
    <d v="2024-01-30T00:00:00"/>
    <s v="Internal"/>
    <x v="2"/>
    <x v="2"/>
    <x v="282"/>
    <x v="5"/>
  </r>
  <r>
    <x v="283"/>
    <x v="11"/>
    <x v="0"/>
    <d v="2024-04-09T00:00:00"/>
    <s v="Internal"/>
    <x v="2"/>
    <x v="0"/>
    <x v="283"/>
    <x v="1"/>
  </r>
  <r>
    <x v="284"/>
    <x v="81"/>
    <x v="0"/>
    <d v="2024-05-17T00:00:00"/>
    <s v="Surface"/>
    <x v="1"/>
    <x v="2"/>
    <x v="284"/>
    <x v="4"/>
  </r>
  <r>
    <x v="285"/>
    <x v="38"/>
    <x v="0"/>
    <d v="2024-06-19T00:00:00"/>
    <s v="Internal"/>
    <x v="1"/>
    <x v="0"/>
    <x v="285"/>
    <x v="0"/>
  </r>
  <r>
    <x v="286"/>
    <x v="4"/>
    <x v="0"/>
    <d v="2024-01-31T00:00:00"/>
    <s v="Internal"/>
    <x v="1"/>
    <x v="2"/>
    <x v="286"/>
    <x v="5"/>
  </r>
  <r>
    <x v="287"/>
    <x v="28"/>
    <x v="0"/>
    <d v="2024-05-26T00:00:00"/>
    <s v="Internal"/>
    <x v="1"/>
    <x v="2"/>
    <x v="287"/>
    <x v="4"/>
  </r>
  <r>
    <x v="288"/>
    <x v="69"/>
    <x v="0"/>
    <d v="2024-02-07T00:00:00"/>
    <s v="Internal"/>
    <x v="0"/>
    <x v="1"/>
    <x v="288"/>
    <x v="2"/>
  </r>
  <r>
    <x v="289"/>
    <x v="52"/>
    <x v="0"/>
    <d v="2024-02-27T00:00:00"/>
    <s v="Internal"/>
    <x v="0"/>
    <x v="1"/>
    <x v="289"/>
    <x v="2"/>
  </r>
  <r>
    <x v="290"/>
    <x v="19"/>
    <x v="1"/>
    <d v="2024-04-22T00:00:00"/>
    <s v="Surface"/>
    <x v="2"/>
    <x v="1"/>
    <x v="290"/>
    <x v="1"/>
  </r>
  <r>
    <x v="291"/>
    <x v="94"/>
    <x v="0"/>
    <d v="2024-02-04T00:00:00"/>
    <s v="Surface"/>
    <x v="0"/>
    <x v="1"/>
    <x v="291"/>
    <x v="2"/>
  </r>
  <r>
    <x v="292"/>
    <x v="63"/>
    <x v="0"/>
    <d v="2024-01-02T00:00:00"/>
    <s v="Internal"/>
    <x v="2"/>
    <x v="1"/>
    <x v="292"/>
    <x v="5"/>
  </r>
  <r>
    <x v="293"/>
    <x v="67"/>
    <x v="2"/>
    <d v="2024-03-31T00:00:00"/>
    <s v="Internal"/>
    <x v="2"/>
    <x v="2"/>
    <x v="293"/>
    <x v="3"/>
  </r>
  <r>
    <x v="294"/>
    <x v="64"/>
    <x v="0"/>
    <d v="2024-02-29T00:00:00"/>
    <s v="Surface"/>
    <x v="1"/>
    <x v="2"/>
    <x v="294"/>
    <x v="2"/>
  </r>
  <r>
    <x v="295"/>
    <x v="57"/>
    <x v="0"/>
    <d v="2024-03-14T00:00:00"/>
    <s v="Component"/>
    <x v="2"/>
    <x v="2"/>
    <x v="295"/>
    <x v="3"/>
  </r>
  <r>
    <x v="296"/>
    <x v="45"/>
    <x v="0"/>
    <d v="2024-01-23T00:00:00"/>
    <s v="Surface"/>
    <x v="0"/>
    <x v="0"/>
    <x v="296"/>
    <x v="5"/>
  </r>
  <r>
    <x v="297"/>
    <x v="12"/>
    <x v="2"/>
    <d v="2024-02-14T00:00:00"/>
    <s v="Surface"/>
    <x v="0"/>
    <x v="2"/>
    <x v="297"/>
    <x v="2"/>
  </r>
  <r>
    <x v="298"/>
    <x v="58"/>
    <x v="2"/>
    <d v="2024-05-26T00:00:00"/>
    <s v="Surface"/>
    <x v="0"/>
    <x v="0"/>
    <x v="298"/>
    <x v="4"/>
  </r>
  <r>
    <x v="299"/>
    <x v="25"/>
    <x v="1"/>
    <d v="2024-04-26T00:00:00"/>
    <s v="Internal"/>
    <x v="1"/>
    <x v="2"/>
    <x v="299"/>
    <x v="1"/>
  </r>
  <r>
    <x v="300"/>
    <x v="48"/>
    <x v="0"/>
    <d v="2024-05-03T00:00:00"/>
    <s v="Surface"/>
    <x v="2"/>
    <x v="2"/>
    <x v="300"/>
    <x v="4"/>
  </r>
  <r>
    <x v="301"/>
    <x v="6"/>
    <x v="2"/>
    <d v="2024-05-06T00:00:00"/>
    <s v="Internal"/>
    <x v="0"/>
    <x v="1"/>
    <x v="301"/>
    <x v="4"/>
  </r>
  <r>
    <x v="302"/>
    <x v="67"/>
    <x v="1"/>
    <d v="2024-04-25T00:00:00"/>
    <s v="Component"/>
    <x v="2"/>
    <x v="0"/>
    <x v="302"/>
    <x v="1"/>
  </r>
  <r>
    <x v="303"/>
    <x v="5"/>
    <x v="1"/>
    <d v="2024-04-24T00:00:00"/>
    <s v="Internal"/>
    <x v="0"/>
    <x v="0"/>
    <x v="303"/>
    <x v="1"/>
  </r>
  <r>
    <x v="304"/>
    <x v="52"/>
    <x v="2"/>
    <d v="2024-06-12T00:00:00"/>
    <s v="Component"/>
    <x v="0"/>
    <x v="0"/>
    <x v="304"/>
    <x v="0"/>
  </r>
  <r>
    <x v="305"/>
    <x v="22"/>
    <x v="0"/>
    <d v="2024-02-13T00:00:00"/>
    <s v="Surface"/>
    <x v="1"/>
    <x v="0"/>
    <x v="305"/>
    <x v="2"/>
  </r>
  <r>
    <x v="306"/>
    <x v="8"/>
    <x v="1"/>
    <d v="2024-06-19T00:00:00"/>
    <s v="Component"/>
    <x v="0"/>
    <x v="0"/>
    <x v="306"/>
    <x v="0"/>
  </r>
  <r>
    <x v="307"/>
    <x v="87"/>
    <x v="2"/>
    <d v="2024-01-08T00:00:00"/>
    <s v="Component"/>
    <x v="0"/>
    <x v="2"/>
    <x v="307"/>
    <x v="5"/>
  </r>
  <r>
    <x v="308"/>
    <x v="34"/>
    <x v="0"/>
    <d v="2024-03-23T00:00:00"/>
    <s v="Component"/>
    <x v="2"/>
    <x v="2"/>
    <x v="308"/>
    <x v="3"/>
  </r>
  <r>
    <x v="309"/>
    <x v="79"/>
    <x v="0"/>
    <d v="2024-05-26T00:00:00"/>
    <s v="Component"/>
    <x v="2"/>
    <x v="1"/>
    <x v="309"/>
    <x v="4"/>
  </r>
  <r>
    <x v="310"/>
    <x v="83"/>
    <x v="0"/>
    <d v="2024-04-08T00:00:00"/>
    <s v="Internal"/>
    <x v="0"/>
    <x v="2"/>
    <x v="310"/>
    <x v="1"/>
  </r>
  <r>
    <x v="311"/>
    <x v="87"/>
    <x v="2"/>
    <d v="2024-02-23T00:00:00"/>
    <s v="Component"/>
    <x v="0"/>
    <x v="2"/>
    <x v="311"/>
    <x v="2"/>
  </r>
  <r>
    <x v="312"/>
    <x v="81"/>
    <x v="2"/>
    <d v="2024-05-29T00:00:00"/>
    <s v="Surface"/>
    <x v="2"/>
    <x v="0"/>
    <x v="312"/>
    <x v="4"/>
  </r>
  <r>
    <x v="313"/>
    <x v="36"/>
    <x v="2"/>
    <d v="2024-02-19T00:00:00"/>
    <s v="Component"/>
    <x v="0"/>
    <x v="1"/>
    <x v="313"/>
    <x v="2"/>
  </r>
  <r>
    <x v="314"/>
    <x v="95"/>
    <x v="1"/>
    <d v="2024-01-15T00:00:00"/>
    <s v="Internal"/>
    <x v="0"/>
    <x v="1"/>
    <x v="314"/>
    <x v="5"/>
  </r>
  <r>
    <x v="315"/>
    <x v="17"/>
    <x v="2"/>
    <d v="2024-06-09T00:00:00"/>
    <s v="Surface"/>
    <x v="1"/>
    <x v="2"/>
    <x v="315"/>
    <x v="0"/>
  </r>
  <r>
    <x v="316"/>
    <x v="49"/>
    <x v="2"/>
    <d v="2024-01-09T00:00:00"/>
    <s v="Surface"/>
    <x v="2"/>
    <x v="0"/>
    <x v="316"/>
    <x v="5"/>
  </r>
  <r>
    <x v="317"/>
    <x v="74"/>
    <x v="1"/>
    <d v="2024-03-03T00:00:00"/>
    <s v="Component"/>
    <x v="0"/>
    <x v="2"/>
    <x v="317"/>
    <x v="3"/>
  </r>
  <r>
    <x v="318"/>
    <x v="58"/>
    <x v="1"/>
    <d v="2024-02-23T00:00:00"/>
    <s v="Component"/>
    <x v="2"/>
    <x v="0"/>
    <x v="318"/>
    <x v="2"/>
  </r>
  <r>
    <x v="319"/>
    <x v="10"/>
    <x v="1"/>
    <d v="2024-01-05T00:00:00"/>
    <s v="Component"/>
    <x v="0"/>
    <x v="0"/>
    <x v="319"/>
    <x v="5"/>
  </r>
  <r>
    <x v="320"/>
    <x v="96"/>
    <x v="0"/>
    <d v="2024-06-06T00:00:00"/>
    <s v="Component"/>
    <x v="2"/>
    <x v="0"/>
    <x v="320"/>
    <x v="0"/>
  </r>
  <r>
    <x v="321"/>
    <x v="88"/>
    <x v="1"/>
    <d v="2024-05-30T00:00:00"/>
    <s v="Internal"/>
    <x v="1"/>
    <x v="1"/>
    <x v="321"/>
    <x v="4"/>
  </r>
  <r>
    <x v="322"/>
    <x v="63"/>
    <x v="0"/>
    <d v="2024-06-08T00:00:00"/>
    <s v="Internal"/>
    <x v="0"/>
    <x v="1"/>
    <x v="322"/>
    <x v="0"/>
  </r>
  <r>
    <x v="323"/>
    <x v="62"/>
    <x v="1"/>
    <d v="2024-04-06T00:00:00"/>
    <s v="Component"/>
    <x v="0"/>
    <x v="2"/>
    <x v="323"/>
    <x v="1"/>
  </r>
  <r>
    <x v="324"/>
    <x v="0"/>
    <x v="1"/>
    <d v="2024-04-15T00:00:00"/>
    <s v="Internal"/>
    <x v="2"/>
    <x v="2"/>
    <x v="324"/>
    <x v="1"/>
  </r>
  <r>
    <x v="325"/>
    <x v="62"/>
    <x v="2"/>
    <d v="2024-04-29T00:00:00"/>
    <s v="Component"/>
    <x v="0"/>
    <x v="2"/>
    <x v="325"/>
    <x v="1"/>
  </r>
  <r>
    <x v="326"/>
    <x v="5"/>
    <x v="0"/>
    <d v="2024-04-01T00:00:00"/>
    <s v="Component"/>
    <x v="1"/>
    <x v="2"/>
    <x v="326"/>
    <x v="1"/>
  </r>
  <r>
    <x v="327"/>
    <x v="73"/>
    <x v="1"/>
    <d v="2024-06-08T00:00:00"/>
    <s v="Surface"/>
    <x v="2"/>
    <x v="0"/>
    <x v="327"/>
    <x v="0"/>
  </r>
  <r>
    <x v="328"/>
    <x v="32"/>
    <x v="0"/>
    <d v="2024-01-02T00:00:00"/>
    <s v="Component"/>
    <x v="1"/>
    <x v="1"/>
    <x v="328"/>
    <x v="5"/>
  </r>
  <r>
    <x v="329"/>
    <x v="13"/>
    <x v="1"/>
    <d v="2024-03-01T00:00:00"/>
    <s v="Component"/>
    <x v="2"/>
    <x v="1"/>
    <x v="329"/>
    <x v="3"/>
  </r>
  <r>
    <x v="330"/>
    <x v="14"/>
    <x v="1"/>
    <d v="2024-03-01T00:00:00"/>
    <s v="Surface"/>
    <x v="0"/>
    <x v="2"/>
    <x v="330"/>
    <x v="3"/>
  </r>
  <r>
    <x v="331"/>
    <x v="40"/>
    <x v="1"/>
    <d v="2024-05-16T00:00:00"/>
    <s v="Component"/>
    <x v="0"/>
    <x v="1"/>
    <x v="331"/>
    <x v="4"/>
  </r>
  <r>
    <x v="332"/>
    <x v="34"/>
    <x v="1"/>
    <d v="2024-04-22T00:00:00"/>
    <s v="Component"/>
    <x v="0"/>
    <x v="1"/>
    <x v="332"/>
    <x v="1"/>
  </r>
  <r>
    <x v="333"/>
    <x v="3"/>
    <x v="0"/>
    <d v="2024-03-15T00:00:00"/>
    <s v="Internal"/>
    <x v="1"/>
    <x v="2"/>
    <x v="333"/>
    <x v="3"/>
  </r>
  <r>
    <x v="334"/>
    <x v="97"/>
    <x v="2"/>
    <d v="2024-02-29T00:00:00"/>
    <s v="Surface"/>
    <x v="0"/>
    <x v="1"/>
    <x v="334"/>
    <x v="2"/>
  </r>
  <r>
    <x v="335"/>
    <x v="32"/>
    <x v="2"/>
    <d v="2024-04-13T00:00:00"/>
    <s v="Surface"/>
    <x v="2"/>
    <x v="1"/>
    <x v="335"/>
    <x v="1"/>
  </r>
  <r>
    <x v="336"/>
    <x v="29"/>
    <x v="2"/>
    <d v="2024-05-24T00:00:00"/>
    <s v="Component"/>
    <x v="0"/>
    <x v="1"/>
    <x v="336"/>
    <x v="4"/>
  </r>
  <r>
    <x v="337"/>
    <x v="49"/>
    <x v="2"/>
    <d v="2024-01-03T00:00:00"/>
    <s v="Component"/>
    <x v="2"/>
    <x v="2"/>
    <x v="337"/>
    <x v="5"/>
  </r>
  <r>
    <x v="338"/>
    <x v="70"/>
    <x v="0"/>
    <d v="2024-02-15T00:00:00"/>
    <s v="Component"/>
    <x v="2"/>
    <x v="0"/>
    <x v="338"/>
    <x v="2"/>
  </r>
  <r>
    <x v="339"/>
    <x v="77"/>
    <x v="2"/>
    <d v="2024-06-23T00:00:00"/>
    <s v="Component"/>
    <x v="0"/>
    <x v="0"/>
    <x v="339"/>
    <x v="0"/>
  </r>
  <r>
    <x v="340"/>
    <x v="5"/>
    <x v="1"/>
    <d v="2024-05-03T00:00:00"/>
    <s v="Surface"/>
    <x v="0"/>
    <x v="2"/>
    <x v="340"/>
    <x v="4"/>
  </r>
  <r>
    <x v="341"/>
    <x v="75"/>
    <x v="2"/>
    <d v="2024-05-24T00:00:00"/>
    <s v="Internal"/>
    <x v="2"/>
    <x v="1"/>
    <x v="341"/>
    <x v="4"/>
  </r>
  <r>
    <x v="342"/>
    <x v="71"/>
    <x v="1"/>
    <d v="2024-01-30T00:00:00"/>
    <s v="Component"/>
    <x v="0"/>
    <x v="0"/>
    <x v="342"/>
    <x v="5"/>
  </r>
  <r>
    <x v="343"/>
    <x v="18"/>
    <x v="1"/>
    <d v="2024-02-06T00:00:00"/>
    <s v="Component"/>
    <x v="2"/>
    <x v="0"/>
    <x v="343"/>
    <x v="2"/>
  </r>
  <r>
    <x v="344"/>
    <x v="69"/>
    <x v="0"/>
    <d v="2024-05-31T00:00:00"/>
    <s v="Internal"/>
    <x v="1"/>
    <x v="0"/>
    <x v="344"/>
    <x v="4"/>
  </r>
  <r>
    <x v="345"/>
    <x v="62"/>
    <x v="2"/>
    <d v="2024-06-14T00:00:00"/>
    <s v="Surface"/>
    <x v="0"/>
    <x v="2"/>
    <x v="345"/>
    <x v="0"/>
  </r>
  <r>
    <x v="346"/>
    <x v="7"/>
    <x v="1"/>
    <d v="2024-05-19T00:00:00"/>
    <s v="Component"/>
    <x v="0"/>
    <x v="0"/>
    <x v="346"/>
    <x v="4"/>
  </r>
  <r>
    <x v="347"/>
    <x v="42"/>
    <x v="2"/>
    <d v="2024-04-18T00:00:00"/>
    <s v="Component"/>
    <x v="1"/>
    <x v="0"/>
    <x v="347"/>
    <x v="1"/>
  </r>
  <r>
    <x v="348"/>
    <x v="10"/>
    <x v="2"/>
    <d v="2024-01-20T00:00:00"/>
    <s v="Surface"/>
    <x v="0"/>
    <x v="1"/>
    <x v="348"/>
    <x v="5"/>
  </r>
  <r>
    <x v="349"/>
    <x v="20"/>
    <x v="0"/>
    <d v="2024-05-18T00:00:00"/>
    <s v="Component"/>
    <x v="2"/>
    <x v="0"/>
    <x v="349"/>
    <x v="4"/>
  </r>
  <r>
    <x v="350"/>
    <x v="63"/>
    <x v="2"/>
    <d v="2024-06-07T00:00:00"/>
    <s v="Surface"/>
    <x v="0"/>
    <x v="0"/>
    <x v="350"/>
    <x v="0"/>
  </r>
  <r>
    <x v="351"/>
    <x v="8"/>
    <x v="1"/>
    <d v="2024-02-24T00:00:00"/>
    <s v="Surface"/>
    <x v="0"/>
    <x v="0"/>
    <x v="351"/>
    <x v="2"/>
  </r>
  <r>
    <x v="352"/>
    <x v="42"/>
    <x v="1"/>
    <d v="2024-06-14T00:00:00"/>
    <s v="Component"/>
    <x v="1"/>
    <x v="2"/>
    <x v="352"/>
    <x v="0"/>
  </r>
  <r>
    <x v="353"/>
    <x v="97"/>
    <x v="0"/>
    <d v="2024-03-13T00:00:00"/>
    <s v="Surface"/>
    <x v="0"/>
    <x v="2"/>
    <x v="353"/>
    <x v="3"/>
  </r>
  <r>
    <x v="354"/>
    <x v="78"/>
    <x v="2"/>
    <d v="2024-03-12T00:00:00"/>
    <s v="Internal"/>
    <x v="1"/>
    <x v="2"/>
    <x v="354"/>
    <x v="3"/>
  </r>
  <r>
    <x v="355"/>
    <x v="39"/>
    <x v="1"/>
    <d v="2024-02-03T00:00:00"/>
    <s v="Internal"/>
    <x v="1"/>
    <x v="0"/>
    <x v="355"/>
    <x v="2"/>
  </r>
  <r>
    <x v="356"/>
    <x v="98"/>
    <x v="2"/>
    <d v="2024-02-08T00:00:00"/>
    <s v="Component"/>
    <x v="1"/>
    <x v="0"/>
    <x v="356"/>
    <x v="2"/>
  </r>
  <r>
    <x v="357"/>
    <x v="51"/>
    <x v="2"/>
    <d v="2024-05-17T00:00:00"/>
    <s v="Surface"/>
    <x v="1"/>
    <x v="1"/>
    <x v="357"/>
    <x v="4"/>
  </r>
  <r>
    <x v="358"/>
    <x v="60"/>
    <x v="1"/>
    <d v="2024-02-17T00:00:00"/>
    <s v="Internal"/>
    <x v="1"/>
    <x v="1"/>
    <x v="358"/>
    <x v="2"/>
  </r>
  <r>
    <x v="359"/>
    <x v="81"/>
    <x v="1"/>
    <d v="2024-06-02T00:00:00"/>
    <s v="Internal"/>
    <x v="2"/>
    <x v="0"/>
    <x v="359"/>
    <x v="0"/>
  </r>
  <r>
    <x v="360"/>
    <x v="93"/>
    <x v="1"/>
    <d v="2024-06-07T00:00:00"/>
    <s v="Component"/>
    <x v="2"/>
    <x v="2"/>
    <x v="360"/>
    <x v="0"/>
  </r>
  <r>
    <x v="361"/>
    <x v="10"/>
    <x v="0"/>
    <d v="2024-06-20T00:00:00"/>
    <s v="Surface"/>
    <x v="0"/>
    <x v="2"/>
    <x v="361"/>
    <x v="0"/>
  </r>
  <r>
    <x v="362"/>
    <x v="31"/>
    <x v="0"/>
    <d v="2024-06-20T00:00:00"/>
    <s v="Internal"/>
    <x v="0"/>
    <x v="0"/>
    <x v="362"/>
    <x v="0"/>
  </r>
  <r>
    <x v="363"/>
    <x v="88"/>
    <x v="1"/>
    <d v="2024-03-21T00:00:00"/>
    <s v="Component"/>
    <x v="0"/>
    <x v="0"/>
    <x v="363"/>
    <x v="3"/>
  </r>
  <r>
    <x v="364"/>
    <x v="95"/>
    <x v="0"/>
    <d v="2024-04-10T00:00:00"/>
    <s v="Component"/>
    <x v="0"/>
    <x v="2"/>
    <x v="364"/>
    <x v="1"/>
  </r>
  <r>
    <x v="365"/>
    <x v="77"/>
    <x v="1"/>
    <d v="2024-04-04T00:00:00"/>
    <s v="Internal"/>
    <x v="1"/>
    <x v="0"/>
    <x v="365"/>
    <x v="1"/>
  </r>
  <r>
    <x v="366"/>
    <x v="76"/>
    <x v="1"/>
    <d v="2024-01-23T00:00:00"/>
    <s v="Internal"/>
    <x v="2"/>
    <x v="0"/>
    <x v="366"/>
    <x v="5"/>
  </r>
  <r>
    <x v="367"/>
    <x v="52"/>
    <x v="1"/>
    <d v="2024-03-01T00:00:00"/>
    <s v="Internal"/>
    <x v="2"/>
    <x v="0"/>
    <x v="367"/>
    <x v="3"/>
  </r>
  <r>
    <x v="368"/>
    <x v="87"/>
    <x v="1"/>
    <d v="2024-01-26T00:00:00"/>
    <s v="Internal"/>
    <x v="1"/>
    <x v="0"/>
    <x v="368"/>
    <x v="5"/>
  </r>
  <r>
    <x v="369"/>
    <x v="57"/>
    <x v="0"/>
    <d v="2024-01-27T00:00:00"/>
    <s v="Internal"/>
    <x v="0"/>
    <x v="0"/>
    <x v="369"/>
    <x v="5"/>
  </r>
  <r>
    <x v="370"/>
    <x v="14"/>
    <x v="0"/>
    <d v="2024-01-02T00:00:00"/>
    <s v="Internal"/>
    <x v="2"/>
    <x v="0"/>
    <x v="370"/>
    <x v="5"/>
  </r>
  <r>
    <x v="371"/>
    <x v="79"/>
    <x v="2"/>
    <d v="2024-05-14T00:00:00"/>
    <s v="Surface"/>
    <x v="0"/>
    <x v="0"/>
    <x v="371"/>
    <x v="4"/>
  </r>
  <r>
    <x v="372"/>
    <x v="32"/>
    <x v="1"/>
    <d v="2024-01-11T00:00:00"/>
    <s v="Surface"/>
    <x v="2"/>
    <x v="2"/>
    <x v="372"/>
    <x v="5"/>
  </r>
  <r>
    <x v="373"/>
    <x v="44"/>
    <x v="0"/>
    <d v="2024-06-13T00:00:00"/>
    <s v="Internal"/>
    <x v="2"/>
    <x v="0"/>
    <x v="373"/>
    <x v="0"/>
  </r>
  <r>
    <x v="374"/>
    <x v="28"/>
    <x v="1"/>
    <d v="2024-05-10T00:00:00"/>
    <s v="Internal"/>
    <x v="0"/>
    <x v="0"/>
    <x v="374"/>
    <x v="4"/>
  </r>
  <r>
    <x v="375"/>
    <x v="88"/>
    <x v="1"/>
    <d v="2024-01-10T00:00:00"/>
    <s v="Component"/>
    <x v="2"/>
    <x v="2"/>
    <x v="375"/>
    <x v="5"/>
  </r>
  <r>
    <x v="376"/>
    <x v="62"/>
    <x v="0"/>
    <d v="2024-01-16T00:00:00"/>
    <s v="Component"/>
    <x v="2"/>
    <x v="1"/>
    <x v="376"/>
    <x v="5"/>
  </r>
  <r>
    <x v="377"/>
    <x v="70"/>
    <x v="0"/>
    <d v="2024-06-12T00:00:00"/>
    <s v="Surface"/>
    <x v="0"/>
    <x v="0"/>
    <x v="377"/>
    <x v="0"/>
  </r>
  <r>
    <x v="378"/>
    <x v="74"/>
    <x v="2"/>
    <d v="2024-04-05T00:00:00"/>
    <s v="Surface"/>
    <x v="0"/>
    <x v="2"/>
    <x v="378"/>
    <x v="1"/>
  </r>
  <r>
    <x v="379"/>
    <x v="26"/>
    <x v="2"/>
    <d v="2024-04-10T00:00:00"/>
    <s v="Component"/>
    <x v="1"/>
    <x v="2"/>
    <x v="379"/>
    <x v="1"/>
  </r>
  <r>
    <x v="380"/>
    <x v="60"/>
    <x v="2"/>
    <d v="2024-01-07T00:00:00"/>
    <s v="Surface"/>
    <x v="2"/>
    <x v="0"/>
    <x v="380"/>
    <x v="5"/>
  </r>
  <r>
    <x v="381"/>
    <x v="14"/>
    <x v="2"/>
    <d v="2024-02-12T00:00:00"/>
    <s v="Component"/>
    <x v="0"/>
    <x v="2"/>
    <x v="381"/>
    <x v="2"/>
  </r>
  <r>
    <x v="382"/>
    <x v="30"/>
    <x v="1"/>
    <d v="2024-01-05T00:00:00"/>
    <s v="Component"/>
    <x v="1"/>
    <x v="0"/>
    <x v="382"/>
    <x v="5"/>
  </r>
  <r>
    <x v="383"/>
    <x v="56"/>
    <x v="2"/>
    <d v="2024-05-05T00:00:00"/>
    <s v="Internal"/>
    <x v="1"/>
    <x v="1"/>
    <x v="383"/>
    <x v="4"/>
  </r>
  <r>
    <x v="384"/>
    <x v="64"/>
    <x v="0"/>
    <d v="2024-01-10T00:00:00"/>
    <s v="Internal"/>
    <x v="2"/>
    <x v="1"/>
    <x v="384"/>
    <x v="5"/>
  </r>
  <r>
    <x v="385"/>
    <x v="23"/>
    <x v="0"/>
    <d v="2024-01-29T00:00:00"/>
    <s v="Surface"/>
    <x v="2"/>
    <x v="0"/>
    <x v="385"/>
    <x v="5"/>
  </r>
  <r>
    <x v="386"/>
    <x v="2"/>
    <x v="1"/>
    <d v="2024-02-14T00:00:00"/>
    <s v="Surface"/>
    <x v="1"/>
    <x v="2"/>
    <x v="386"/>
    <x v="2"/>
  </r>
  <r>
    <x v="387"/>
    <x v="96"/>
    <x v="0"/>
    <d v="2024-02-17T00:00:00"/>
    <s v="Internal"/>
    <x v="0"/>
    <x v="1"/>
    <x v="387"/>
    <x v="2"/>
  </r>
  <r>
    <x v="388"/>
    <x v="33"/>
    <x v="0"/>
    <d v="2024-04-16T00:00:00"/>
    <s v="Internal"/>
    <x v="0"/>
    <x v="1"/>
    <x v="388"/>
    <x v="1"/>
  </r>
  <r>
    <x v="389"/>
    <x v="61"/>
    <x v="0"/>
    <d v="2024-05-19T00:00:00"/>
    <s v="Surface"/>
    <x v="1"/>
    <x v="1"/>
    <x v="389"/>
    <x v="4"/>
  </r>
  <r>
    <x v="390"/>
    <x v="40"/>
    <x v="1"/>
    <d v="2024-06-03T00:00:00"/>
    <s v="Internal"/>
    <x v="0"/>
    <x v="0"/>
    <x v="390"/>
    <x v="0"/>
  </r>
  <r>
    <x v="391"/>
    <x v="18"/>
    <x v="1"/>
    <d v="2024-02-25T00:00:00"/>
    <s v="Component"/>
    <x v="1"/>
    <x v="1"/>
    <x v="391"/>
    <x v="2"/>
  </r>
  <r>
    <x v="392"/>
    <x v="34"/>
    <x v="2"/>
    <d v="2024-06-09T00:00:00"/>
    <s v="Surface"/>
    <x v="1"/>
    <x v="0"/>
    <x v="392"/>
    <x v="0"/>
  </r>
  <r>
    <x v="393"/>
    <x v="90"/>
    <x v="1"/>
    <d v="2024-05-04T00:00:00"/>
    <s v="Internal"/>
    <x v="2"/>
    <x v="2"/>
    <x v="393"/>
    <x v="4"/>
  </r>
  <r>
    <x v="394"/>
    <x v="18"/>
    <x v="1"/>
    <d v="2024-03-05T00:00:00"/>
    <s v="Surface"/>
    <x v="1"/>
    <x v="1"/>
    <x v="394"/>
    <x v="3"/>
  </r>
  <r>
    <x v="395"/>
    <x v="2"/>
    <x v="2"/>
    <d v="2024-01-09T00:00:00"/>
    <s v="Surface"/>
    <x v="1"/>
    <x v="0"/>
    <x v="395"/>
    <x v="5"/>
  </r>
  <r>
    <x v="396"/>
    <x v="37"/>
    <x v="1"/>
    <d v="2024-04-16T00:00:00"/>
    <s v="Surface"/>
    <x v="2"/>
    <x v="0"/>
    <x v="396"/>
    <x v="1"/>
  </r>
  <r>
    <x v="397"/>
    <x v="25"/>
    <x v="0"/>
    <d v="2024-02-20T00:00:00"/>
    <s v="Surface"/>
    <x v="0"/>
    <x v="2"/>
    <x v="397"/>
    <x v="2"/>
  </r>
  <r>
    <x v="398"/>
    <x v="98"/>
    <x v="1"/>
    <d v="2024-04-07T00:00:00"/>
    <s v="Surface"/>
    <x v="1"/>
    <x v="2"/>
    <x v="398"/>
    <x v="1"/>
  </r>
  <r>
    <x v="399"/>
    <x v="63"/>
    <x v="2"/>
    <d v="2024-04-12T00:00:00"/>
    <s v="Component"/>
    <x v="2"/>
    <x v="2"/>
    <x v="399"/>
    <x v="1"/>
  </r>
  <r>
    <x v="400"/>
    <x v="74"/>
    <x v="1"/>
    <d v="2024-04-19T00:00:00"/>
    <s v="Internal"/>
    <x v="1"/>
    <x v="1"/>
    <x v="400"/>
    <x v="1"/>
  </r>
  <r>
    <x v="401"/>
    <x v="70"/>
    <x v="1"/>
    <d v="2024-02-23T00:00:00"/>
    <s v="Internal"/>
    <x v="0"/>
    <x v="2"/>
    <x v="401"/>
    <x v="2"/>
  </r>
  <r>
    <x v="402"/>
    <x v="1"/>
    <x v="2"/>
    <d v="2024-05-09T00:00:00"/>
    <s v="Surface"/>
    <x v="0"/>
    <x v="2"/>
    <x v="402"/>
    <x v="4"/>
  </r>
  <r>
    <x v="403"/>
    <x v="87"/>
    <x v="0"/>
    <d v="2024-05-01T00:00:00"/>
    <s v="Surface"/>
    <x v="0"/>
    <x v="1"/>
    <x v="403"/>
    <x v="4"/>
  </r>
  <r>
    <x v="404"/>
    <x v="75"/>
    <x v="1"/>
    <d v="2024-03-24T00:00:00"/>
    <s v="Internal"/>
    <x v="0"/>
    <x v="0"/>
    <x v="404"/>
    <x v="3"/>
  </r>
  <r>
    <x v="405"/>
    <x v="22"/>
    <x v="1"/>
    <d v="2024-04-11T00:00:00"/>
    <s v="Component"/>
    <x v="2"/>
    <x v="0"/>
    <x v="405"/>
    <x v="1"/>
  </r>
  <r>
    <x v="406"/>
    <x v="3"/>
    <x v="1"/>
    <d v="2024-05-30T00:00:00"/>
    <s v="Internal"/>
    <x v="1"/>
    <x v="0"/>
    <x v="406"/>
    <x v="4"/>
  </r>
  <r>
    <x v="407"/>
    <x v="10"/>
    <x v="0"/>
    <d v="2024-06-24T00:00:00"/>
    <s v="Internal"/>
    <x v="0"/>
    <x v="0"/>
    <x v="407"/>
    <x v="0"/>
  </r>
  <r>
    <x v="408"/>
    <x v="92"/>
    <x v="1"/>
    <d v="2024-03-05T00:00:00"/>
    <s v="Surface"/>
    <x v="0"/>
    <x v="1"/>
    <x v="408"/>
    <x v="3"/>
  </r>
  <r>
    <x v="409"/>
    <x v="44"/>
    <x v="2"/>
    <d v="2024-03-13T00:00:00"/>
    <s v="Surface"/>
    <x v="2"/>
    <x v="0"/>
    <x v="409"/>
    <x v="3"/>
  </r>
  <r>
    <x v="410"/>
    <x v="11"/>
    <x v="1"/>
    <d v="2024-02-28T00:00:00"/>
    <s v="Component"/>
    <x v="0"/>
    <x v="0"/>
    <x v="410"/>
    <x v="2"/>
  </r>
  <r>
    <x v="411"/>
    <x v="62"/>
    <x v="1"/>
    <d v="2024-02-02T00:00:00"/>
    <s v="Internal"/>
    <x v="0"/>
    <x v="1"/>
    <x v="411"/>
    <x v="2"/>
  </r>
  <r>
    <x v="412"/>
    <x v="9"/>
    <x v="0"/>
    <d v="2024-04-05T00:00:00"/>
    <s v="Internal"/>
    <x v="0"/>
    <x v="0"/>
    <x v="412"/>
    <x v="1"/>
  </r>
  <r>
    <x v="413"/>
    <x v="36"/>
    <x v="0"/>
    <d v="2024-02-04T00:00:00"/>
    <s v="Component"/>
    <x v="2"/>
    <x v="1"/>
    <x v="413"/>
    <x v="2"/>
  </r>
  <r>
    <x v="414"/>
    <x v="40"/>
    <x v="0"/>
    <d v="2024-06-12T00:00:00"/>
    <s v="Component"/>
    <x v="1"/>
    <x v="1"/>
    <x v="414"/>
    <x v="0"/>
  </r>
  <r>
    <x v="415"/>
    <x v="15"/>
    <x v="2"/>
    <d v="2024-05-17T00:00:00"/>
    <s v="Component"/>
    <x v="2"/>
    <x v="1"/>
    <x v="415"/>
    <x v="4"/>
  </r>
  <r>
    <x v="416"/>
    <x v="90"/>
    <x v="2"/>
    <d v="2024-04-16T00:00:00"/>
    <s v="Component"/>
    <x v="1"/>
    <x v="0"/>
    <x v="416"/>
    <x v="1"/>
  </r>
  <r>
    <x v="417"/>
    <x v="18"/>
    <x v="1"/>
    <d v="2024-03-23T00:00:00"/>
    <s v="Internal"/>
    <x v="2"/>
    <x v="2"/>
    <x v="417"/>
    <x v="3"/>
  </r>
  <r>
    <x v="418"/>
    <x v="69"/>
    <x v="1"/>
    <d v="2024-02-13T00:00:00"/>
    <s v="Component"/>
    <x v="0"/>
    <x v="0"/>
    <x v="418"/>
    <x v="2"/>
  </r>
  <r>
    <x v="419"/>
    <x v="58"/>
    <x v="0"/>
    <d v="2024-04-20T00:00:00"/>
    <s v="Surface"/>
    <x v="1"/>
    <x v="1"/>
    <x v="419"/>
    <x v="1"/>
  </r>
  <r>
    <x v="420"/>
    <x v="37"/>
    <x v="1"/>
    <d v="2024-01-09T00:00:00"/>
    <s v="Internal"/>
    <x v="0"/>
    <x v="0"/>
    <x v="420"/>
    <x v="5"/>
  </r>
  <r>
    <x v="421"/>
    <x v="31"/>
    <x v="1"/>
    <d v="2024-04-11T00:00:00"/>
    <s v="Internal"/>
    <x v="2"/>
    <x v="2"/>
    <x v="421"/>
    <x v="1"/>
  </r>
  <r>
    <x v="422"/>
    <x v="65"/>
    <x v="2"/>
    <d v="2024-01-04T00:00:00"/>
    <s v="Internal"/>
    <x v="1"/>
    <x v="1"/>
    <x v="422"/>
    <x v="5"/>
  </r>
  <r>
    <x v="423"/>
    <x v="60"/>
    <x v="0"/>
    <d v="2024-03-27T00:00:00"/>
    <s v="Component"/>
    <x v="2"/>
    <x v="0"/>
    <x v="423"/>
    <x v="3"/>
  </r>
  <r>
    <x v="424"/>
    <x v="86"/>
    <x v="1"/>
    <d v="2024-02-25T00:00:00"/>
    <s v="Component"/>
    <x v="2"/>
    <x v="0"/>
    <x v="424"/>
    <x v="2"/>
  </r>
  <r>
    <x v="425"/>
    <x v="41"/>
    <x v="1"/>
    <d v="2024-05-23T00:00:00"/>
    <s v="Internal"/>
    <x v="1"/>
    <x v="2"/>
    <x v="425"/>
    <x v="4"/>
  </r>
  <r>
    <x v="426"/>
    <x v="3"/>
    <x v="0"/>
    <d v="2024-03-22T00:00:00"/>
    <s v="Surface"/>
    <x v="1"/>
    <x v="2"/>
    <x v="426"/>
    <x v="3"/>
  </r>
  <r>
    <x v="427"/>
    <x v="69"/>
    <x v="0"/>
    <d v="2024-03-26T00:00:00"/>
    <s v="Internal"/>
    <x v="1"/>
    <x v="0"/>
    <x v="427"/>
    <x v="3"/>
  </r>
  <r>
    <x v="428"/>
    <x v="0"/>
    <x v="1"/>
    <d v="2024-06-19T00:00:00"/>
    <s v="Component"/>
    <x v="2"/>
    <x v="0"/>
    <x v="428"/>
    <x v="0"/>
  </r>
  <r>
    <x v="429"/>
    <x v="13"/>
    <x v="0"/>
    <d v="2024-06-27T00:00:00"/>
    <s v="Surface"/>
    <x v="0"/>
    <x v="1"/>
    <x v="429"/>
    <x v="0"/>
  </r>
  <r>
    <x v="430"/>
    <x v="72"/>
    <x v="1"/>
    <d v="2024-05-13T00:00:00"/>
    <s v="Surface"/>
    <x v="1"/>
    <x v="0"/>
    <x v="430"/>
    <x v="4"/>
  </r>
  <r>
    <x v="431"/>
    <x v="58"/>
    <x v="2"/>
    <d v="2024-02-25T00:00:00"/>
    <s v="Surface"/>
    <x v="2"/>
    <x v="1"/>
    <x v="431"/>
    <x v="2"/>
  </r>
  <r>
    <x v="432"/>
    <x v="78"/>
    <x v="2"/>
    <d v="2024-05-03T00:00:00"/>
    <s v="Component"/>
    <x v="0"/>
    <x v="1"/>
    <x v="432"/>
    <x v="4"/>
  </r>
  <r>
    <x v="433"/>
    <x v="24"/>
    <x v="1"/>
    <d v="2024-05-12T00:00:00"/>
    <s v="Surface"/>
    <x v="0"/>
    <x v="2"/>
    <x v="433"/>
    <x v="4"/>
  </r>
  <r>
    <x v="434"/>
    <x v="70"/>
    <x v="0"/>
    <d v="2024-04-08T00:00:00"/>
    <s v="Surface"/>
    <x v="2"/>
    <x v="0"/>
    <x v="434"/>
    <x v="1"/>
  </r>
  <r>
    <x v="435"/>
    <x v="63"/>
    <x v="0"/>
    <d v="2024-06-18T00:00:00"/>
    <s v="Surface"/>
    <x v="0"/>
    <x v="0"/>
    <x v="435"/>
    <x v="0"/>
  </r>
  <r>
    <x v="436"/>
    <x v="81"/>
    <x v="2"/>
    <d v="2024-05-06T00:00:00"/>
    <s v="Component"/>
    <x v="0"/>
    <x v="1"/>
    <x v="436"/>
    <x v="4"/>
  </r>
  <r>
    <x v="437"/>
    <x v="22"/>
    <x v="1"/>
    <d v="2024-01-12T00:00:00"/>
    <s v="Component"/>
    <x v="1"/>
    <x v="0"/>
    <x v="437"/>
    <x v="5"/>
  </r>
  <r>
    <x v="438"/>
    <x v="16"/>
    <x v="1"/>
    <d v="2024-03-13T00:00:00"/>
    <s v="Surface"/>
    <x v="2"/>
    <x v="0"/>
    <x v="438"/>
    <x v="3"/>
  </r>
  <r>
    <x v="439"/>
    <x v="80"/>
    <x v="0"/>
    <d v="2024-03-03T00:00:00"/>
    <s v="Surface"/>
    <x v="1"/>
    <x v="0"/>
    <x v="439"/>
    <x v="3"/>
  </r>
  <r>
    <x v="440"/>
    <x v="32"/>
    <x v="0"/>
    <d v="2024-06-18T00:00:00"/>
    <s v="Internal"/>
    <x v="2"/>
    <x v="1"/>
    <x v="440"/>
    <x v="0"/>
  </r>
  <r>
    <x v="441"/>
    <x v="32"/>
    <x v="0"/>
    <d v="2024-02-06T00:00:00"/>
    <s v="Component"/>
    <x v="0"/>
    <x v="2"/>
    <x v="441"/>
    <x v="2"/>
  </r>
  <r>
    <x v="442"/>
    <x v="94"/>
    <x v="2"/>
    <d v="2024-06-25T00:00:00"/>
    <s v="Internal"/>
    <x v="1"/>
    <x v="1"/>
    <x v="442"/>
    <x v="0"/>
  </r>
  <r>
    <x v="443"/>
    <x v="16"/>
    <x v="1"/>
    <d v="2024-02-08T00:00:00"/>
    <s v="Internal"/>
    <x v="2"/>
    <x v="2"/>
    <x v="443"/>
    <x v="2"/>
  </r>
  <r>
    <x v="444"/>
    <x v="38"/>
    <x v="1"/>
    <d v="2024-03-23T00:00:00"/>
    <s v="Component"/>
    <x v="0"/>
    <x v="2"/>
    <x v="444"/>
    <x v="3"/>
  </r>
  <r>
    <x v="445"/>
    <x v="23"/>
    <x v="2"/>
    <d v="2024-01-20T00:00:00"/>
    <s v="Component"/>
    <x v="2"/>
    <x v="1"/>
    <x v="445"/>
    <x v="5"/>
  </r>
  <r>
    <x v="446"/>
    <x v="27"/>
    <x v="0"/>
    <d v="2024-01-09T00:00:00"/>
    <s v="Internal"/>
    <x v="0"/>
    <x v="1"/>
    <x v="446"/>
    <x v="5"/>
  </r>
  <r>
    <x v="447"/>
    <x v="53"/>
    <x v="1"/>
    <d v="2024-05-10T00:00:00"/>
    <s v="Component"/>
    <x v="2"/>
    <x v="2"/>
    <x v="447"/>
    <x v="4"/>
  </r>
  <r>
    <x v="448"/>
    <x v="40"/>
    <x v="1"/>
    <d v="2024-03-10T00:00:00"/>
    <s v="Component"/>
    <x v="2"/>
    <x v="0"/>
    <x v="448"/>
    <x v="3"/>
  </r>
  <r>
    <x v="449"/>
    <x v="67"/>
    <x v="1"/>
    <d v="2024-04-23T00:00:00"/>
    <s v="Internal"/>
    <x v="0"/>
    <x v="1"/>
    <x v="449"/>
    <x v="1"/>
  </r>
  <r>
    <x v="450"/>
    <x v="99"/>
    <x v="1"/>
    <d v="2024-01-02T00:00:00"/>
    <s v="Internal"/>
    <x v="1"/>
    <x v="2"/>
    <x v="450"/>
    <x v="5"/>
  </r>
  <r>
    <x v="451"/>
    <x v="1"/>
    <x v="0"/>
    <d v="2024-03-04T00:00:00"/>
    <s v="Internal"/>
    <x v="1"/>
    <x v="0"/>
    <x v="451"/>
    <x v="3"/>
  </r>
  <r>
    <x v="452"/>
    <x v="11"/>
    <x v="0"/>
    <d v="2024-05-17T00:00:00"/>
    <s v="Component"/>
    <x v="2"/>
    <x v="2"/>
    <x v="452"/>
    <x v="4"/>
  </r>
  <r>
    <x v="453"/>
    <x v="55"/>
    <x v="1"/>
    <d v="2024-03-30T00:00:00"/>
    <s v="Component"/>
    <x v="2"/>
    <x v="1"/>
    <x v="453"/>
    <x v="3"/>
  </r>
  <r>
    <x v="454"/>
    <x v="98"/>
    <x v="0"/>
    <d v="2024-03-30T00:00:00"/>
    <s v="Component"/>
    <x v="2"/>
    <x v="2"/>
    <x v="454"/>
    <x v="3"/>
  </r>
  <r>
    <x v="455"/>
    <x v="9"/>
    <x v="0"/>
    <d v="2024-04-05T00:00:00"/>
    <s v="Surface"/>
    <x v="1"/>
    <x v="2"/>
    <x v="455"/>
    <x v="1"/>
  </r>
  <r>
    <x v="456"/>
    <x v="16"/>
    <x v="0"/>
    <d v="2024-04-11T00:00:00"/>
    <s v="Surface"/>
    <x v="0"/>
    <x v="1"/>
    <x v="456"/>
    <x v="1"/>
  </r>
  <r>
    <x v="457"/>
    <x v="65"/>
    <x v="1"/>
    <d v="2024-04-23T00:00:00"/>
    <s v="Internal"/>
    <x v="2"/>
    <x v="0"/>
    <x v="457"/>
    <x v="1"/>
  </r>
  <r>
    <x v="458"/>
    <x v="35"/>
    <x v="1"/>
    <d v="2024-02-26T00:00:00"/>
    <s v="Component"/>
    <x v="2"/>
    <x v="1"/>
    <x v="458"/>
    <x v="2"/>
  </r>
  <r>
    <x v="459"/>
    <x v="65"/>
    <x v="0"/>
    <d v="2024-06-11T00:00:00"/>
    <s v="Component"/>
    <x v="0"/>
    <x v="0"/>
    <x v="459"/>
    <x v="0"/>
  </r>
  <r>
    <x v="460"/>
    <x v="77"/>
    <x v="1"/>
    <d v="2024-03-02T00:00:00"/>
    <s v="Internal"/>
    <x v="0"/>
    <x v="0"/>
    <x v="460"/>
    <x v="3"/>
  </r>
  <r>
    <x v="461"/>
    <x v="58"/>
    <x v="0"/>
    <d v="2024-02-18T00:00:00"/>
    <s v="Internal"/>
    <x v="0"/>
    <x v="2"/>
    <x v="461"/>
    <x v="2"/>
  </r>
  <r>
    <x v="462"/>
    <x v="54"/>
    <x v="1"/>
    <d v="2024-03-15T00:00:00"/>
    <s v="Surface"/>
    <x v="0"/>
    <x v="1"/>
    <x v="462"/>
    <x v="3"/>
  </r>
  <r>
    <x v="463"/>
    <x v="18"/>
    <x v="1"/>
    <d v="2024-01-27T00:00:00"/>
    <s v="Component"/>
    <x v="2"/>
    <x v="0"/>
    <x v="463"/>
    <x v="5"/>
  </r>
  <r>
    <x v="464"/>
    <x v="22"/>
    <x v="0"/>
    <d v="2024-05-20T00:00:00"/>
    <s v="Internal"/>
    <x v="0"/>
    <x v="2"/>
    <x v="464"/>
    <x v="4"/>
  </r>
  <r>
    <x v="465"/>
    <x v="89"/>
    <x v="2"/>
    <d v="2024-01-05T00:00:00"/>
    <s v="Surface"/>
    <x v="1"/>
    <x v="0"/>
    <x v="465"/>
    <x v="5"/>
  </r>
  <r>
    <x v="466"/>
    <x v="64"/>
    <x v="2"/>
    <d v="2024-02-28T00:00:00"/>
    <s v="Internal"/>
    <x v="2"/>
    <x v="1"/>
    <x v="466"/>
    <x v="2"/>
  </r>
  <r>
    <x v="467"/>
    <x v="56"/>
    <x v="1"/>
    <d v="2024-03-26T00:00:00"/>
    <s v="Internal"/>
    <x v="0"/>
    <x v="0"/>
    <x v="467"/>
    <x v="3"/>
  </r>
  <r>
    <x v="468"/>
    <x v="7"/>
    <x v="1"/>
    <d v="2024-04-28T00:00:00"/>
    <s v="Surface"/>
    <x v="2"/>
    <x v="2"/>
    <x v="468"/>
    <x v="1"/>
  </r>
  <r>
    <x v="469"/>
    <x v="79"/>
    <x v="0"/>
    <d v="2024-02-22T00:00:00"/>
    <s v="Component"/>
    <x v="0"/>
    <x v="0"/>
    <x v="469"/>
    <x v="2"/>
  </r>
  <r>
    <x v="470"/>
    <x v="85"/>
    <x v="2"/>
    <d v="2024-03-24T00:00:00"/>
    <s v="Internal"/>
    <x v="0"/>
    <x v="2"/>
    <x v="470"/>
    <x v="3"/>
  </r>
  <r>
    <x v="471"/>
    <x v="45"/>
    <x v="1"/>
    <d v="2024-03-24T00:00:00"/>
    <s v="Internal"/>
    <x v="1"/>
    <x v="0"/>
    <x v="471"/>
    <x v="3"/>
  </r>
  <r>
    <x v="472"/>
    <x v="83"/>
    <x v="0"/>
    <d v="2024-02-25T00:00:00"/>
    <s v="Internal"/>
    <x v="0"/>
    <x v="2"/>
    <x v="472"/>
    <x v="2"/>
  </r>
  <r>
    <x v="473"/>
    <x v="41"/>
    <x v="2"/>
    <d v="2024-02-04T00:00:00"/>
    <s v="Component"/>
    <x v="2"/>
    <x v="1"/>
    <x v="473"/>
    <x v="2"/>
  </r>
  <r>
    <x v="474"/>
    <x v="62"/>
    <x v="2"/>
    <d v="2024-03-16T00:00:00"/>
    <s v="Surface"/>
    <x v="2"/>
    <x v="2"/>
    <x v="474"/>
    <x v="3"/>
  </r>
  <r>
    <x v="475"/>
    <x v="11"/>
    <x v="2"/>
    <d v="2024-02-01T00:00:00"/>
    <s v="Internal"/>
    <x v="1"/>
    <x v="0"/>
    <x v="475"/>
    <x v="2"/>
  </r>
  <r>
    <x v="476"/>
    <x v="83"/>
    <x v="1"/>
    <d v="2024-02-23T00:00:00"/>
    <s v="Component"/>
    <x v="1"/>
    <x v="0"/>
    <x v="476"/>
    <x v="2"/>
  </r>
  <r>
    <x v="477"/>
    <x v="27"/>
    <x v="1"/>
    <d v="2024-01-18T00:00:00"/>
    <s v="Surface"/>
    <x v="2"/>
    <x v="0"/>
    <x v="477"/>
    <x v="5"/>
  </r>
  <r>
    <x v="478"/>
    <x v="96"/>
    <x v="2"/>
    <d v="2024-06-07T00:00:00"/>
    <s v="Component"/>
    <x v="1"/>
    <x v="0"/>
    <x v="478"/>
    <x v="0"/>
  </r>
  <r>
    <x v="479"/>
    <x v="80"/>
    <x v="1"/>
    <d v="2024-01-07T00:00:00"/>
    <s v="Internal"/>
    <x v="0"/>
    <x v="1"/>
    <x v="479"/>
    <x v="5"/>
  </r>
  <r>
    <x v="480"/>
    <x v="65"/>
    <x v="2"/>
    <d v="2024-06-02T00:00:00"/>
    <s v="Surface"/>
    <x v="1"/>
    <x v="1"/>
    <x v="480"/>
    <x v="0"/>
  </r>
  <r>
    <x v="481"/>
    <x v="29"/>
    <x v="0"/>
    <d v="2024-06-16T00:00:00"/>
    <s v="Surface"/>
    <x v="1"/>
    <x v="0"/>
    <x v="481"/>
    <x v="0"/>
  </r>
  <r>
    <x v="482"/>
    <x v="3"/>
    <x v="0"/>
    <d v="2024-02-17T00:00:00"/>
    <s v="Component"/>
    <x v="2"/>
    <x v="0"/>
    <x v="482"/>
    <x v="2"/>
  </r>
  <r>
    <x v="483"/>
    <x v="72"/>
    <x v="2"/>
    <d v="2024-02-10T00:00:00"/>
    <s v="Internal"/>
    <x v="0"/>
    <x v="2"/>
    <x v="483"/>
    <x v="2"/>
  </r>
  <r>
    <x v="484"/>
    <x v="98"/>
    <x v="0"/>
    <d v="2024-02-29T00:00:00"/>
    <s v="Surface"/>
    <x v="0"/>
    <x v="2"/>
    <x v="484"/>
    <x v="2"/>
  </r>
  <r>
    <x v="485"/>
    <x v="62"/>
    <x v="2"/>
    <d v="2024-03-29T00:00:00"/>
    <s v="Internal"/>
    <x v="1"/>
    <x v="1"/>
    <x v="485"/>
    <x v="3"/>
  </r>
  <r>
    <x v="486"/>
    <x v="97"/>
    <x v="2"/>
    <d v="2024-03-13T00:00:00"/>
    <s v="Internal"/>
    <x v="1"/>
    <x v="2"/>
    <x v="486"/>
    <x v="3"/>
  </r>
  <r>
    <x v="487"/>
    <x v="30"/>
    <x v="2"/>
    <d v="2024-04-04T00:00:00"/>
    <s v="Surface"/>
    <x v="0"/>
    <x v="1"/>
    <x v="487"/>
    <x v="1"/>
  </r>
  <r>
    <x v="488"/>
    <x v="89"/>
    <x v="2"/>
    <d v="2024-05-10T00:00:00"/>
    <s v="Internal"/>
    <x v="0"/>
    <x v="0"/>
    <x v="488"/>
    <x v="4"/>
  </r>
  <r>
    <x v="489"/>
    <x v="31"/>
    <x v="1"/>
    <d v="2024-03-11T00:00:00"/>
    <s v="Internal"/>
    <x v="0"/>
    <x v="2"/>
    <x v="489"/>
    <x v="3"/>
  </r>
  <r>
    <x v="490"/>
    <x v="7"/>
    <x v="1"/>
    <d v="2024-02-19T00:00:00"/>
    <s v="Internal"/>
    <x v="1"/>
    <x v="2"/>
    <x v="490"/>
    <x v="2"/>
  </r>
  <r>
    <x v="491"/>
    <x v="37"/>
    <x v="1"/>
    <d v="2024-04-21T00:00:00"/>
    <s v="Component"/>
    <x v="2"/>
    <x v="0"/>
    <x v="491"/>
    <x v="1"/>
  </r>
  <r>
    <x v="492"/>
    <x v="27"/>
    <x v="1"/>
    <d v="2024-06-09T00:00:00"/>
    <s v="Component"/>
    <x v="1"/>
    <x v="2"/>
    <x v="492"/>
    <x v="0"/>
  </r>
  <r>
    <x v="493"/>
    <x v="49"/>
    <x v="0"/>
    <d v="2024-03-01T00:00:00"/>
    <s v="Internal"/>
    <x v="1"/>
    <x v="0"/>
    <x v="493"/>
    <x v="3"/>
  </r>
  <r>
    <x v="494"/>
    <x v="33"/>
    <x v="0"/>
    <d v="2024-01-28T00:00:00"/>
    <s v="Surface"/>
    <x v="2"/>
    <x v="1"/>
    <x v="494"/>
    <x v="5"/>
  </r>
  <r>
    <x v="495"/>
    <x v="1"/>
    <x v="1"/>
    <d v="2024-01-16T00:00:00"/>
    <s v="Internal"/>
    <x v="1"/>
    <x v="0"/>
    <x v="495"/>
    <x v="5"/>
  </r>
  <r>
    <x v="496"/>
    <x v="33"/>
    <x v="1"/>
    <d v="2024-03-28T00:00:00"/>
    <s v="Component"/>
    <x v="1"/>
    <x v="0"/>
    <x v="496"/>
    <x v="3"/>
  </r>
  <r>
    <x v="497"/>
    <x v="12"/>
    <x v="2"/>
    <d v="2024-06-17T00:00:00"/>
    <s v="Internal"/>
    <x v="2"/>
    <x v="0"/>
    <x v="497"/>
    <x v="0"/>
  </r>
  <r>
    <x v="498"/>
    <x v="23"/>
    <x v="2"/>
    <d v="2024-04-01T00:00:00"/>
    <s v="Surface"/>
    <x v="2"/>
    <x v="0"/>
    <x v="498"/>
    <x v="1"/>
  </r>
  <r>
    <x v="499"/>
    <x v="68"/>
    <x v="1"/>
    <d v="2024-04-19T00:00:00"/>
    <s v="Surface"/>
    <x v="2"/>
    <x v="2"/>
    <x v="499"/>
    <x v="1"/>
  </r>
  <r>
    <x v="500"/>
    <x v="92"/>
    <x v="0"/>
    <d v="2024-01-13T00:00:00"/>
    <s v="Surface"/>
    <x v="0"/>
    <x v="0"/>
    <x v="500"/>
    <x v="5"/>
  </r>
  <r>
    <x v="501"/>
    <x v="41"/>
    <x v="0"/>
    <d v="2024-04-26T00:00:00"/>
    <s v="Surface"/>
    <x v="0"/>
    <x v="1"/>
    <x v="501"/>
    <x v="1"/>
  </r>
  <r>
    <x v="502"/>
    <x v="73"/>
    <x v="2"/>
    <d v="2024-06-13T00:00:00"/>
    <s v="Surface"/>
    <x v="1"/>
    <x v="2"/>
    <x v="502"/>
    <x v="0"/>
  </r>
  <r>
    <x v="503"/>
    <x v="14"/>
    <x v="2"/>
    <d v="2024-05-26T00:00:00"/>
    <s v="Internal"/>
    <x v="2"/>
    <x v="2"/>
    <x v="503"/>
    <x v="4"/>
  </r>
  <r>
    <x v="504"/>
    <x v="32"/>
    <x v="0"/>
    <d v="2024-04-11T00:00:00"/>
    <s v="Surface"/>
    <x v="0"/>
    <x v="0"/>
    <x v="504"/>
    <x v="1"/>
  </r>
  <r>
    <x v="505"/>
    <x v="65"/>
    <x v="0"/>
    <d v="2024-05-05T00:00:00"/>
    <s v="Internal"/>
    <x v="1"/>
    <x v="0"/>
    <x v="505"/>
    <x v="4"/>
  </r>
  <r>
    <x v="506"/>
    <x v="18"/>
    <x v="2"/>
    <d v="2024-01-15T00:00:00"/>
    <s v="Component"/>
    <x v="1"/>
    <x v="2"/>
    <x v="506"/>
    <x v="5"/>
  </r>
  <r>
    <x v="507"/>
    <x v="70"/>
    <x v="1"/>
    <d v="2024-04-04T00:00:00"/>
    <s v="Surface"/>
    <x v="2"/>
    <x v="0"/>
    <x v="507"/>
    <x v="1"/>
  </r>
  <r>
    <x v="508"/>
    <x v="73"/>
    <x v="0"/>
    <d v="2024-04-21T00:00:00"/>
    <s v="Internal"/>
    <x v="1"/>
    <x v="1"/>
    <x v="508"/>
    <x v="1"/>
  </r>
  <r>
    <x v="509"/>
    <x v="52"/>
    <x v="1"/>
    <d v="2024-05-24T00:00:00"/>
    <s v="Internal"/>
    <x v="1"/>
    <x v="1"/>
    <x v="509"/>
    <x v="4"/>
  </r>
  <r>
    <x v="510"/>
    <x v="31"/>
    <x v="2"/>
    <d v="2024-06-20T00:00:00"/>
    <s v="Internal"/>
    <x v="2"/>
    <x v="2"/>
    <x v="510"/>
    <x v="0"/>
  </r>
  <r>
    <x v="511"/>
    <x v="72"/>
    <x v="2"/>
    <d v="2024-05-06T00:00:00"/>
    <s v="Internal"/>
    <x v="1"/>
    <x v="1"/>
    <x v="511"/>
    <x v="4"/>
  </r>
  <r>
    <x v="512"/>
    <x v="50"/>
    <x v="2"/>
    <d v="2024-03-23T00:00:00"/>
    <s v="Surface"/>
    <x v="2"/>
    <x v="0"/>
    <x v="512"/>
    <x v="3"/>
  </r>
  <r>
    <x v="513"/>
    <x v="57"/>
    <x v="0"/>
    <d v="2024-05-19T00:00:00"/>
    <s v="Component"/>
    <x v="0"/>
    <x v="0"/>
    <x v="513"/>
    <x v="4"/>
  </r>
  <r>
    <x v="514"/>
    <x v="25"/>
    <x v="0"/>
    <d v="2024-03-22T00:00:00"/>
    <s v="Internal"/>
    <x v="2"/>
    <x v="2"/>
    <x v="514"/>
    <x v="3"/>
  </r>
  <r>
    <x v="515"/>
    <x v="45"/>
    <x v="1"/>
    <d v="2024-06-20T00:00:00"/>
    <s v="Component"/>
    <x v="2"/>
    <x v="1"/>
    <x v="515"/>
    <x v="0"/>
  </r>
  <r>
    <x v="516"/>
    <x v="86"/>
    <x v="2"/>
    <d v="2024-06-12T00:00:00"/>
    <s v="Internal"/>
    <x v="2"/>
    <x v="2"/>
    <x v="516"/>
    <x v="0"/>
  </r>
  <r>
    <x v="517"/>
    <x v="75"/>
    <x v="2"/>
    <d v="2024-03-28T00:00:00"/>
    <s v="Internal"/>
    <x v="1"/>
    <x v="1"/>
    <x v="517"/>
    <x v="3"/>
  </r>
  <r>
    <x v="518"/>
    <x v="71"/>
    <x v="1"/>
    <d v="2024-06-18T00:00:00"/>
    <s v="Internal"/>
    <x v="1"/>
    <x v="2"/>
    <x v="518"/>
    <x v="0"/>
  </r>
  <r>
    <x v="519"/>
    <x v="54"/>
    <x v="1"/>
    <d v="2024-05-12T00:00:00"/>
    <s v="Internal"/>
    <x v="1"/>
    <x v="0"/>
    <x v="519"/>
    <x v="4"/>
  </r>
  <r>
    <x v="520"/>
    <x v="11"/>
    <x v="0"/>
    <d v="2024-01-07T00:00:00"/>
    <s v="Surface"/>
    <x v="1"/>
    <x v="0"/>
    <x v="520"/>
    <x v="5"/>
  </r>
  <r>
    <x v="521"/>
    <x v="55"/>
    <x v="0"/>
    <d v="2024-01-13T00:00:00"/>
    <s v="Surface"/>
    <x v="1"/>
    <x v="2"/>
    <x v="521"/>
    <x v="5"/>
  </r>
  <r>
    <x v="522"/>
    <x v="1"/>
    <x v="1"/>
    <d v="2024-01-08T00:00:00"/>
    <s v="Component"/>
    <x v="2"/>
    <x v="1"/>
    <x v="522"/>
    <x v="5"/>
  </r>
  <r>
    <x v="523"/>
    <x v="4"/>
    <x v="2"/>
    <d v="2024-02-10T00:00:00"/>
    <s v="Surface"/>
    <x v="0"/>
    <x v="0"/>
    <x v="523"/>
    <x v="2"/>
  </r>
  <r>
    <x v="524"/>
    <x v="72"/>
    <x v="1"/>
    <d v="2024-02-24T00:00:00"/>
    <s v="Surface"/>
    <x v="1"/>
    <x v="2"/>
    <x v="524"/>
    <x v="2"/>
  </r>
  <r>
    <x v="525"/>
    <x v="38"/>
    <x v="0"/>
    <d v="2024-02-10T00:00:00"/>
    <s v="Surface"/>
    <x v="0"/>
    <x v="2"/>
    <x v="525"/>
    <x v="2"/>
  </r>
  <r>
    <x v="526"/>
    <x v="55"/>
    <x v="0"/>
    <d v="2024-04-19T00:00:00"/>
    <s v="Component"/>
    <x v="0"/>
    <x v="2"/>
    <x v="526"/>
    <x v="1"/>
  </r>
  <r>
    <x v="527"/>
    <x v="59"/>
    <x v="1"/>
    <d v="2024-06-10T00:00:00"/>
    <s v="Internal"/>
    <x v="0"/>
    <x v="1"/>
    <x v="527"/>
    <x v="0"/>
  </r>
  <r>
    <x v="528"/>
    <x v="88"/>
    <x v="0"/>
    <d v="2024-01-02T00:00:00"/>
    <s v="Surface"/>
    <x v="0"/>
    <x v="2"/>
    <x v="528"/>
    <x v="5"/>
  </r>
  <r>
    <x v="529"/>
    <x v="56"/>
    <x v="1"/>
    <d v="2024-02-02T00:00:00"/>
    <s v="Surface"/>
    <x v="1"/>
    <x v="1"/>
    <x v="529"/>
    <x v="2"/>
  </r>
  <r>
    <x v="530"/>
    <x v="81"/>
    <x v="2"/>
    <d v="2024-02-08T00:00:00"/>
    <s v="Internal"/>
    <x v="1"/>
    <x v="0"/>
    <x v="530"/>
    <x v="2"/>
  </r>
  <r>
    <x v="531"/>
    <x v="1"/>
    <x v="0"/>
    <d v="2024-02-10T00:00:00"/>
    <s v="Surface"/>
    <x v="1"/>
    <x v="2"/>
    <x v="531"/>
    <x v="2"/>
  </r>
  <r>
    <x v="532"/>
    <x v="33"/>
    <x v="2"/>
    <d v="2024-04-03T00:00:00"/>
    <s v="Surface"/>
    <x v="0"/>
    <x v="0"/>
    <x v="532"/>
    <x v="1"/>
  </r>
  <r>
    <x v="533"/>
    <x v="4"/>
    <x v="2"/>
    <d v="2024-04-11T00:00:00"/>
    <s v="Surface"/>
    <x v="0"/>
    <x v="0"/>
    <x v="533"/>
    <x v="1"/>
  </r>
  <r>
    <x v="534"/>
    <x v="86"/>
    <x v="0"/>
    <d v="2024-03-21T00:00:00"/>
    <s v="Internal"/>
    <x v="1"/>
    <x v="1"/>
    <x v="534"/>
    <x v="3"/>
  </r>
  <r>
    <x v="535"/>
    <x v="59"/>
    <x v="1"/>
    <d v="2024-05-13T00:00:00"/>
    <s v="Internal"/>
    <x v="1"/>
    <x v="1"/>
    <x v="535"/>
    <x v="4"/>
  </r>
  <r>
    <x v="536"/>
    <x v="73"/>
    <x v="2"/>
    <d v="2024-06-13T00:00:00"/>
    <s v="Component"/>
    <x v="1"/>
    <x v="0"/>
    <x v="536"/>
    <x v="0"/>
  </r>
  <r>
    <x v="537"/>
    <x v="61"/>
    <x v="0"/>
    <d v="2024-05-11T00:00:00"/>
    <s v="Component"/>
    <x v="2"/>
    <x v="1"/>
    <x v="537"/>
    <x v="4"/>
  </r>
  <r>
    <x v="538"/>
    <x v="0"/>
    <x v="2"/>
    <d v="2024-05-12T00:00:00"/>
    <s v="Internal"/>
    <x v="2"/>
    <x v="2"/>
    <x v="538"/>
    <x v="4"/>
  </r>
  <r>
    <x v="539"/>
    <x v="9"/>
    <x v="2"/>
    <d v="2024-02-14T00:00:00"/>
    <s v="Internal"/>
    <x v="0"/>
    <x v="2"/>
    <x v="539"/>
    <x v="2"/>
  </r>
  <r>
    <x v="540"/>
    <x v="94"/>
    <x v="2"/>
    <d v="2024-04-29T00:00:00"/>
    <s v="Component"/>
    <x v="1"/>
    <x v="2"/>
    <x v="540"/>
    <x v="1"/>
  </r>
  <r>
    <x v="541"/>
    <x v="33"/>
    <x v="1"/>
    <d v="2024-06-25T00:00:00"/>
    <s v="Surface"/>
    <x v="2"/>
    <x v="2"/>
    <x v="541"/>
    <x v="0"/>
  </r>
  <r>
    <x v="542"/>
    <x v="79"/>
    <x v="0"/>
    <d v="2024-03-18T00:00:00"/>
    <s v="Component"/>
    <x v="0"/>
    <x v="0"/>
    <x v="542"/>
    <x v="3"/>
  </r>
  <r>
    <x v="543"/>
    <x v="58"/>
    <x v="2"/>
    <d v="2024-01-12T00:00:00"/>
    <s v="Component"/>
    <x v="0"/>
    <x v="1"/>
    <x v="543"/>
    <x v="5"/>
  </r>
  <r>
    <x v="544"/>
    <x v="76"/>
    <x v="0"/>
    <d v="2024-06-17T00:00:00"/>
    <s v="Component"/>
    <x v="0"/>
    <x v="0"/>
    <x v="544"/>
    <x v="0"/>
  </r>
  <r>
    <x v="545"/>
    <x v="5"/>
    <x v="1"/>
    <d v="2024-01-15T00:00:00"/>
    <s v="Component"/>
    <x v="0"/>
    <x v="2"/>
    <x v="545"/>
    <x v="5"/>
  </r>
  <r>
    <x v="546"/>
    <x v="3"/>
    <x v="2"/>
    <d v="2024-02-25T00:00:00"/>
    <s v="Surface"/>
    <x v="2"/>
    <x v="0"/>
    <x v="546"/>
    <x v="2"/>
  </r>
  <r>
    <x v="547"/>
    <x v="7"/>
    <x v="1"/>
    <d v="2024-03-26T00:00:00"/>
    <s v="Internal"/>
    <x v="1"/>
    <x v="1"/>
    <x v="547"/>
    <x v="3"/>
  </r>
  <r>
    <x v="548"/>
    <x v="59"/>
    <x v="2"/>
    <d v="2024-01-22T00:00:00"/>
    <s v="Surface"/>
    <x v="0"/>
    <x v="0"/>
    <x v="548"/>
    <x v="5"/>
  </r>
  <r>
    <x v="549"/>
    <x v="60"/>
    <x v="0"/>
    <d v="2024-05-26T00:00:00"/>
    <s v="Surface"/>
    <x v="0"/>
    <x v="1"/>
    <x v="549"/>
    <x v="4"/>
  </r>
  <r>
    <x v="550"/>
    <x v="12"/>
    <x v="1"/>
    <d v="2024-04-15T00:00:00"/>
    <s v="Surface"/>
    <x v="0"/>
    <x v="1"/>
    <x v="550"/>
    <x v="1"/>
  </r>
  <r>
    <x v="551"/>
    <x v="57"/>
    <x v="0"/>
    <d v="2024-06-04T00:00:00"/>
    <s v="Component"/>
    <x v="0"/>
    <x v="1"/>
    <x v="551"/>
    <x v="0"/>
  </r>
  <r>
    <x v="552"/>
    <x v="31"/>
    <x v="1"/>
    <d v="2024-01-10T00:00:00"/>
    <s v="Surface"/>
    <x v="1"/>
    <x v="2"/>
    <x v="552"/>
    <x v="5"/>
  </r>
  <r>
    <x v="553"/>
    <x v="8"/>
    <x v="1"/>
    <d v="2024-01-28T00:00:00"/>
    <s v="Internal"/>
    <x v="1"/>
    <x v="1"/>
    <x v="553"/>
    <x v="5"/>
  </r>
  <r>
    <x v="554"/>
    <x v="75"/>
    <x v="1"/>
    <d v="2024-03-06T00:00:00"/>
    <s v="Component"/>
    <x v="0"/>
    <x v="1"/>
    <x v="554"/>
    <x v="3"/>
  </r>
  <r>
    <x v="555"/>
    <x v="51"/>
    <x v="1"/>
    <d v="2024-02-11T00:00:00"/>
    <s v="Surface"/>
    <x v="0"/>
    <x v="0"/>
    <x v="555"/>
    <x v="2"/>
  </r>
  <r>
    <x v="556"/>
    <x v="62"/>
    <x v="1"/>
    <d v="2024-03-03T00:00:00"/>
    <s v="Internal"/>
    <x v="0"/>
    <x v="2"/>
    <x v="556"/>
    <x v="3"/>
  </r>
  <r>
    <x v="557"/>
    <x v="31"/>
    <x v="0"/>
    <d v="2024-04-13T00:00:00"/>
    <s v="Internal"/>
    <x v="0"/>
    <x v="0"/>
    <x v="557"/>
    <x v="1"/>
  </r>
  <r>
    <x v="558"/>
    <x v="5"/>
    <x v="2"/>
    <d v="2024-02-26T00:00:00"/>
    <s v="Internal"/>
    <x v="0"/>
    <x v="2"/>
    <x v="558"/>
    <x v="2"/>
  </r>
  <r>
    <x v="559"/>
    <x v="91"/>
    <x v="2"/>
    <d v="2024-01-09T00:00:00"/>
    <s v="Surface"/>
    <x v="2"/>
    <x v="2"/>
    <x v="559"/>
    <x v="5"/>
  </r>
  <r>
    <x v="560"/>
    <x v="10"/>
    <x v="1"/>
    <d v="2024-03-27T00:00:00"/>
    <s v="Surface"/>
    <x v="2"/>
    <x v="1"/>
    <x v="560"/>
    <x v="3"/>
  </r>
  <r>
    <x v="561"/>
    <x v="13"/>
    <x v="2"/>
    <d v="2024-01-15T00:00:00"/>
    <s v="Internal"/>
    <x v="2"/>
    <x v="2"/>
    <x v="561"/>
    <x v="5"/>
  </r>
  <r>
    <x v="562"/>
    <x v="58"/>
    <x v="1"/>
    <d v="2024-02-13T00:00:00"/>
    <s v="Component"/>
    <x v="0"/>
    <x v="1"/>
    <x v="562"/>
    <x v="2"/>
  </r>
  <r>
    <x v="563"/>
    <x v="57"/>
    <x v="1"/>
    <d v="2024-02-18T00:00:00"/>
    <s v="Surface"/>
    <x v="1"/>
    <x v="2"/>
    <x v="563"/>
    <x v="2"/>
  </r>
  <r>
    <x v="564"/>
    <x v="27"/>
    <x v="0"/>
    <d v="2024-01-15T00:00:00"/>
    <s v="Surface"/>
    <x v="0"/>
    <x v="2"/>
    <x v="564"/>
    <x v="5"/>
  </r>
  <r>
    <x v="565"/>
    <x v="71"/>
    <x v="2"/>
    <d v="2024-02-17T00:00:00"/>
    <s v="Internal"/>
    <x v="0"/>
    <x v="1"/>
    <x v="565"/>
    <x v="2"/>
  </r>
  <r>
    <x v="566"/>
    <x v="83"/>
    <x v="1"/>
    <d v="2024-04-04T00:00:00"/>
    <s v="Internal"/>
    <x v="1"/>
    <x v="1"/>
    <x v="566"/>
    <x v="1"/>
  </r>
  <r>
    <x v="567"/>
    <x v="41"/>
    <x v="0"/>
    <d v="2024-03-19T00:00:00"/>
    <s v="Surface"/>
    <x v="0"/>
    <x v="1"/>
    <x v="567"/>
    <x v="3"/>
  </r>
  <r>
    <x v="568"/>
    <x v="62"/>
    <x v="1"/>
    <d v="2024-05-14T00:00:00"/>
    <s v="Component"/>
    <x v="1"/>
    <x v="1"/>
    <x v="568"/>
    <x v="4"/>
  </r>
  <r>
    <x v="569"/>
    <x v="31"/>
    <x v="2"/>
    <d v="2024-03-22T00:00:00"/>
    <s v="Internal"/>
    <x v="1"/>
    <x v="0"/>
    <x v="569"/>
    <x v="3"/>
  </r>
  <r>
    <x v="570"/>
    <x v="87"/>
    <x v="1"/>
    <d v="2024-04-19T00:00:00"/>
    <s v="Surface"/>
    <x v="1"/>
    <x v="2"/>
    <x v="570"/>
    <x v="1"/>
  </r>
  <r>
    <x v="571"/>
    <x v="43"/>
    <x v="0"/>
    <d v="2024-02-17T00:00:00"/>
    <s v="Internal"/>
    <x v="1"/>
    <x v="0"/>
    <x v="571"/>
    <x v="2"/>
  </r>
  <r>
    <x v="572"/>
    <x v="92"/>
    <x v="2"/>
    <d v="2024-02-27T00:00:00"/>
    <s v="Internal"/>
    <x v="1"/>
    <x v="0"/>
    <x v="572"/>
    <x v="2"/>
  </r>
  <r>
    <x v="573"/>
    <x v="44"/>
    <x v="1"/>
    <d v="2024-01-21T00:00:00"/>
    <s v="Component"/>
    <x v="1"/>
    <x v="0"/>
    <x v="573"/>
    <x v="5"/>
  </r>
  <r>
    <x v="574"/>
    <x v="13"/>
    <x v="1"/>
    <d v="2024-03-07T00:00:00"/>
    <s v="Component"/>
    <x v="0"/>
    <x v="0"/>
    <x v="574"/>
    <x v="3"/>
  </r>
  <r>
    <x v="575"/>
    <x v="66"/>
    <x v="0"/>
    <d v="2024-04-10T00:00:00"/>
    <s v="Surface"/>
    <x v="1"/>
    <x v="1"/>
    <x v="575"/>
    <x v="1"/>
  </r>
  <r>
    <x v="576"/>
    <x v="61"/>
    <x v="1"/>
    <d v="2024-04-21T00:00:00"/>
    <s v="Surface"/>
    <x v="1"/>
    <x v="0"/>
    <x v="576"/>
    <x v="1"/>
  </r>
  <r>
    <x v="577"/>
    <x v="97"/>
    <x v="0"/>
    <d v="2024-06-09T00:00:00"/>
    <s v="Component"/>
    <x v="0"/>
    <x v="0"/>
    <x v="577"/>
    <x v="0"/>
  </r>
  <r>
    <x v="578"/>
    <x v="68"/>
    <x v="0"/>
    <d v="2024-04-12T00:00:00"/>
    <s v="Internal"/>
    <x v="0"/>
    <x v="2"/>
    <x v="578"/>
    <x v="1"/>
  </r>
  <r>
    <x v="579"/>
    <x v="0"/>
    <x v="0"/>
    <d v="2024-03-04T00:00:00"/>
    <s v="Internal"/>
    <x v="2"/>
    <x v="0"/>
    <x v="579"/>
    <x v="3"/>
  </r>
  <r>
    <x v="580"/>
    <x v="39"/>
    <x v="1"/>
    <d v="2024-06-20T00:00:00"/>
    <s v="Internal"/>
    <x v="2"/>
    <x v="2"/>
    <x v="580"/>
    <x v="0"/>
  </r>
  <r>
    <x v="581"/>
    <x v="67"/>
    <x v="2"/>
    <d v="2024-06-08T00:00:00"/>
    <s v="Component"/>
    <x v="2"/>
    <x v="1"/>
    <x v="581"/>
    <x v="0"/>
  </r>
  <r>
    <x v="582"/>
    <x v="11"/>
    <x v="0"/>
    <d v="2024-06-29T00:00:00"/>
    <s v="Internal"/>
    <x v="2"/>
    <x v="1"/>
    <x v="582"/>
    <x v="0"/>
  </r>
  <r>
    <x v="583"/>
    <x v="24"/>
    <x v="0"/>
    <d v="2024-06-29T00:00:00"/>
    <s v="Component"/>
    <x v="0"/>
    <x v="0"/>
    <x v="583"/>
    <x v="0"/>
  </r>
  <r>
    <x v="584"/>
    <x v="93"/>
    <x v="0"/>
    <d v="2024-06-01T00:00:00"/>
    <s v="Surface"/>
    <x v="1"/>
    <x v="1"/>
    <x v="584"/>
    <x v="0"/>
  </r>
  <r>
    <x v="585"/>
    <x v="62"/>
    <x v="2"/>
    <d v="2024-03-11T00:00:00"/>
    <s v="Surface"/>
    <x v="1"/>
    <x v="1"/>
    <x v="585"/>
    <x v="3"/>
  </r>
  <r>
    <x v="586"/>
    <x v="29"/>
    <x v="0"/>
    <d v="2024-02-03T00:00:00"/>
    <s v="Surface"/>
    <x v="2"/>
    <x v="2"/>
    <x v="586"/>
    <x v="2"/>
  </r>
  <r>
    <x v="587"/>
    <x v="95"/>
    <x v="0"/>
    <d v="2024-02-26T00:00:00"/>
    <s v="Surface"/>
    <x v="2"/>
    <x v="0"/>
    <x v="587"/>
    <x v="2"/>
  </r>
  <r>
    <x v="588"/>
    <x v="59"/>
    <x v="0"/>
    <d v="2024-03-03T00:00:00"/>
    <s v="Internal"/>
    <x v="2"/>
    <x v="0"/>
    <x v="588"/>
    <x v="3"/>
  </r>
  <r>
    <x v="589"/>
    <x v="7"/>
    <x v="0"/>
    <d v="2024-02-17T00:00:00"/>
    <s v="Component"/>
    <x v="0"/>
    <x v="2"/>
    <x v="589"/>
    <x v="2"/>
  </r>
  <r>
    <x v="590"/>
    <x v="7"/>
    <x v="1"/>
    <d v="2024-02-09T00:00:00"/>
    <s v="Surface"/>
    <x v="2"/>
    <x v="2"/>
    <x v="590"/>
    <x v="2"/>
  </r>
  <r>
    <x v="591"/>
    <x v="40"/>
    <x v="0"/>
    <d v="2024-06-01T00:00:00"/>
    <s v="Internal"/>
    <x v="0"/>
    <x v="1"/>
    <x v="591"/>
    <x v="0"/>
  </r>
  <r>
    <x v="592"/>
    <x v="43"/>
    <x v="1"/>
    <d v="2024-06-23T00:00:00"/>
    <s v="Surface"/>
    <x v="2"/>
    <x v="0"/>
    <x v="592"/>
    <x v="0"/>
  </r>
  <r>
    <x v="593"/>
    <x v="71"/>
    <x v="2"/>
    <d v="2024-01-14T00:00:00"/>
    <s v="Surface"/>
    <x v="2"/>
    <x v="1"/>
    <x v="593"/>
    <x v="5"/>
  </r>
  <r>
    <x v="594"/>
    <x v="23"/>
    <x v="2"/>
    <d v="2024-06-21T00:00:00"/>
    <s v="Surface"/>
    <x v="2"/>
    <x v="1"/>
    <x v="594"/>
    <x v="0"/>
  </r>
  <r>
    <x v="595"/>
    <x v="14"/>
    <x v="0"/>
    <d v="2024-06-16T00:00:00"/>
    <s v="Internal"/>
    <x v="2"/>
    <x v="1"/>
    <x v="595"/>
    <x v="0"/>
  </r>
  <r>
    <x v="596"/>
    <x v="97"/>
    <x v="2"/>
    <d v="2024-04-19T00:00:00"/>
    <s v="Internal"/>
    <x v="1"/>
    <x v="1"/>
    <x v="596"/>
    <x v="1"/>
  </r>
  <r>
    <x v="597"/>
    <x v="98"/>
    <x v="1"/>
    <d v="2024-06-08T00:00:00"/>
    <s v="Component"/>
    <x v="1"/>
    <x v="1"/>
    <x v="597"/>
    <x v="0"/>
  </r>
  <r>
    <x v="598"/>
    <x v="36"/>
    <x v="1"/>
    <d v="2024-04-20T00:00:00"/>
    <s v="Internal"/>
    <x v="1"/>
    <x v="2"/>
    <x v="598"/>
    <x v="1"/>
  </r>
  <r>
    <x v="599"/>
    <x v="92"/>
    <x v="2"/>
    <d v="2024-04-21T00:00:00"/>
    <s v="Component"/>
    <x v="1"/>
    <x v="2"/>
    <x v="599"/>
    <x v="1"/>
  </r>
  <r>
    <x v="600"/>
    <x v="92"/>
    <x v="0"/>
    <d v="2024-04-24T00:00:00"/>
    <s v="Internal"/>
    <x v="2"/>
    <x v="0"/>
    <x v="600"/>
    <x v="1"/>
  </r>
  <r>
    <x v="601"/>
    <x v="14"/>
    <x v="2"/>
    <d v="2024-02-10T00:00:00"/>
    <s v="Surface"/>
    <x v="2"/>
    <x v="0"/>
    <x v="601"/>
    <x v="2"/>
  </r>
  <r>
    <x v="602"/>
    <x v="10"/>
    <x v="0"/>
    <d v="2024-03-21T00:00:00"/>
    <s v="Surface"/>
    <x v="2"/>
    <x v="2"/>
    <x v="602"/>
    <x v="3"/>
  </r>
  <r>
    <x v="603"/>
    <x v="68"/>
    <x v="1"/>
    <d v="2024-03-25T00:00:00"/>
    <s v="Surface"/>
    <x v="1"/>
    <x v="0"/>
    <x v="603"/>
    <x v="3"/>
  </r>
  <r>
    <x v="604"/>
    <x v="16"/>
    <x v="1"/>
    <d v="2024-05-27T00:00:00"/>
    <s v="Surface"/>
    <x v="2"/>
    <x v="1"/>
    <x v="604"/>
    <x v="4"/>
  </r>
  <r>
    <x v="605"/>
    <x v="16"/>
    <x v="0"/>
    <d v="2024-04-13T00:00:00"/>
    <s v="Surface"/>
    <x v="0"/>
    <x v="2"/>
    <x v="605"/>
    <x v="1"/>
  </r>
  <r>
    <x v="606"/>
    <x v="54"/>
    <x v="2"/>
    <d v="2024-05-30T00:00:00"/>
    <s v="Component"/>
    <x v="0"/>
    <x v="0"/>
    <x v="606"/>
    <x v="4"/>
  </r>
  <r>
    <x v="607"/>
    <x v="44"/>
    <x v="2"/>
    <d v="2024-03-25T00:00:00"/>
    <s v="Surface"/>
    <x v="0"/>
    <x v="1"/>
    <x v="607"/>
    <x v="3"/>
  </r>
  <r>
    <x v="608"/>
    <x v="44"/>
    <x v="0"/>
    <d v="2024-05-06T00:00:00"/>
    <s v="Internal"/>
    <x v="1"/>
    <x v="0"/>
    <x v="608"/>
    <x v="4"/>
  </r>
  <r>
    <x v="609"/>
    <x v="18"/>
    <x v="2"/>
    <d v="2024-05-12T00:00:00"/>
    <s v="Internal"/>
    <x v="0"/>
    <x v="2"/>
    <x v="609"/>
    <x v="4"/>
  </r>
  <r>
    <x v="610"/>
    <x v="67"/>
    <x v="1"/>
    <d v="2024-01-20T00:00:00"/>
    <s v="Internal"/>
    <x v="0"/>
    <x v="2"/>
    <x v="610"/>
    <x v="5"/>
  </r>
  <r>
    <x v="611"/>
    <x v="58"/>
    <x v="0"/>
    <d v="2024-04-13T00:00:00"/>
    <s v="Internal"/>
    <x v="0"/>
    <x v="2"/>
    <x v="611"/>
    <x v="1"/>
  </r>
  <r>
    <x v="612"/>
    <x v="29"/>
    <x v="0"/>
    <d v="2024-01-08T00:00:00"/>
    <s v="Surface"/>
    <x v="2"/>
    <x v="0"/>
    <x v="612"/>
    <x v="5"/>
  </r>
  <r>
    <x v="613"/>
    <x v="19"/>
    <x v="2"/>
    <d v="2024-01-18T00:00:00"/>
    <s v="Surface"/>
    <x v="1"/>
    <x v="2"/>
    <x v="613"/>
    <x v="5"/>
  </r>
  <r>
    <x v="614"/>
    <x v="15"/>
    <x v="2"/>
    <d v="2024-03-02T00:00:00"/>
    <s v="Surface"/>
    <x v="2"/>
    <x v="1"/>
    <x v="614"/>
    <x v="3"/>
  </r>
  <r>
    <x v="615"/>
    <x v="18"/>
    <x v="1"/>
    <d v="2024-03-09T00:00:00"/>
    <s v="Internal"/>
    <x v="1"/>
    <x v="2"/>
    <x v="615"/>
    <x v="3"/>
  </r>
  <r>
    <x v="616"/>
    <x v="87"/>
    <x v="1"/>
    <d v="2024-03-23T00:00:00"/>
    <s v="Internal"/>
    <x v="2"/>
    <x v="1"/>
    <x v="616"/>
    <x v="3"/>
  </r>
  <r>
    <x v="617"/>
    <x v="32"/>
    <x v="1"/>
    <d v="2024-02-29T00:00:00"/>
    <s v="Component"/>
    <x v="0"/>
    <x v="2"/>
    <x v="617"/>
    <x v="2"/>
  </r>
  <r>
    <x v="618"/>
    <x v="12"/>
    <x v="1"/>
    <d v="2024-02-18T00:00:00"/>
    <s v="Component"/>
    <x v="2"/>
    <x v="1"/>
    <x v="618"/>
    <x v="2"/>
  </r>
  <r>
    <x v="619"/>
    <x v="30"/>
    <x v="2"/>
    <d v="2024-02-03T00:00:00"/>
    <s v="Internal"/>
    <x v="1"/>
    <x v="2"/>
    <x v="619"/>
    <x v="2"/>
  </r>
  <r>
    <x v="620"/>
    <x v="69"/>
    <x v="0"/>
    <d v="2024-04-10T00:00:00"/>
    <s v="Surface"/>
    <x v="1"/>
    <x v="2"/>
    <x v="620"/>
    <x v="1"/>
  </r>
  <r>
    <x v="621"/>
    <x v="12"/>
    <x v="0"/>
    <d v="2024-01-06T00:00:00"/>
    <s v="Internal"/>
    <x v="0"/>
    <x v="2"/>
    <x v="621"/>
    <x v="5"/>
  </r>
  <r>
    <x v="622"/>
    <x v="59"/>
    <x v="2"/>
    <d v="2024-04-06T00:00:00"/>
    <s v="Component"/>
    <x v="2"/>
    <x v="2"/>
    <x v="622"/>
    <x v="1"/>
  </r>
  <r>
    <x v="623"/>
    <x v="58"/>
    <x v="2"/>
    <d v="2024-01-09T00:00:00"/>
    <s v="Internal"/>
    <x v="1"/>
    <x v="0"/>
    <x v="623"/>
    <x v="5"/>
  </r>
  <r>
    <x v="624"/>
    <x v="56"/>
    <x v="1"/>
    <d v="2024-06-24T00:00:00"/>
    <s v="Internal"/>
    <x v="1"/>
    <x v="1"/>
    <x v="624"/>
    <x v="0"/>
  </r>
  <r>
    <x v="625"/>
    <x v="40"/>
    <x v="0"/>
    <d v="2024-04-19T00:00:00"/>
    <s v="Component"/>
    <x v="0"/>
    <x v="0"/>
    <x v="625"/>
    <x v="1"/>
  </r>
  <r>
    <x v="626"/>
    <x v="34"/>
    <x v="0"/>
    <d v="2024-05-15T00:00:00"/>
    <s v="Component"/>
    <x v="0"/>
    <x v="1"/>
    <x v="626"/>
    <x v="4"/>
  </r>
  <r>
    <x v="627"/>
    <x v="84"/>
    <x v="0"/>
    <d v="2024-01-04T00:00:00"/>
    <s v="Surface"/>
    <x v="2"/>
    <x v="1"/>
    <x v="627"/>
    <x v="5"/>
  </r>
  <r>
    <x v="628"/>
    <x v="45"/>
    <x v="1"/>
    <d v="2024-04-16T00:00:00"/>
    <s v="Internal"/>
    <x v="1"/>
    <x v="0"/>
    <x v="628"/>
    <x v="1"/>
  </r>
  <r>
    <x v="629"/>
    <x v="77"/>
    <x v="1"/>
    <d v="2024-06-23T00:00:00"/>
    <s v="Component"/>
    <x v="2"/>
    <x v="0"/>
    <x v="629"/>
    <x v="0"/>
  </r>
  <r>
    <x v="630"/>
    <x v="21"/>
    <x v="2"/>
    <d v="2024-05-03T00:00:00"/>
    <s v="Surface"/>
    <x v="0"/>
    <x v="2"/>
    <x v="630"/>
    <x v="4"/>
  </r>
  <r>
    <x v="631"/>
    <x v="13"/>
    <x v="0"/>
    <d v="2024-05-04T00:00:00"/>
    <s v="Internal"/>
    <x v="0"/>
    <x v="1"/>
    <x v="631"/>
    <x v="4"/>
  </r>
  <r>
    <x v="632"/>
    <x v="17"/>
    <x v="1"/>
    <d v="2024-01-28T00:00:00"/>
    <s v="Component"/>
    <x v="0"/>
    <x v="2"/>
    <x v="632"/>
    <x v="5"/>
  </r>
  <r>
    <x v="633"/>
    <x v="91"/>
    <x v="1"/>
    <d v="2024-05-23T00:00:00"/>
    <s v="Internal"/>
    <x v="0"/>
    <x v="0"/>
    <x v="633"/>
    <x v="4"/>
  </r>
  <r>
    <x v="634"/>
    <x v="23"/>
    <x v="0"/>
    <d v="2024-06-14T00:00:00"/>
    <s v="Component"/>
    <x v="0"/>
    <x v="1"/>
    <x v="634"/>
    <x v="0"/>
  </r>
  <r>
    <x v="635"/>
    <x v="5"/>
    <x v="1"/>
    <d v="2024-02-05T00:00:00"/>
    <s v="Surface"/>
    <x v="2"/>
    <x v="0"/>
    <x v="635"/>
    <x v="2"/>
  </r>
  <r>
    <x v="636"/>
    <x v="76"/>
    <x v="1"/>
    <d v="2024-05-29T00:00:00"/>
    <s v="Component"/>
    <x v="1"/>
    <x v="1"/>
    <x v="636"/>
    <x v="4"/>
  </r>
  <r>
    <x v="637"/>
    <x v="85"/>
    <x v="2"/>
    <d v="2024-04-07T00:00:00"/>
    <s v="Component"/>
    <x v="2"/>
    <x v="1"/>
    <x v="637"/>
    <x v="1"/>
  </r>
  <r>
    <x v="638"/>
    <x v="45"/>
    <x v="2"/>
    <d v="2024-01-17T00:00:00"/>
    <s v="Surface"/>
    <x v="2"/>
    <x v="0"/>
    <x v="638"/>
    <x v="5"/>
  </r>
  <r>
    <x v="639"/>
    <x v="44"/>
    <x v="2"/>
    <d v="2024-06-21T00:00:00"/>
    <s v="Internal"/>
    <x v="0"/>
    <x v="1"/>
    <x v="639"/>
    <x v="0"/>
  </r>
  <r>
    <x v="640"/>
    <x v="40"/>
    <x v="1"/>
    <d v="2024-01-30T00:00:00"/>
    <s v="Internal"/>
    <x v="2"/>
    <x v="2"/>
    <x v="640"/>
    <x v="5"/>
  </r>
  <r>
    <x v="641"/>
    <x v="17"/>
    <x v="0"/>
    <d v="2024-01-26T00:00:00"/>
    <s v="Component"/>
    <x v="1"/>
    <x v="0"/>
    <x v="641"/>
    <x v="5"/>
  </r>
  <r>
    <x v="642"/>
    <x v="60"/>
    <x v="2"/>
    <d v="2024-06-17T00:00:00"/>
    <s v="Component"/>
    <x v="0"/>
    <x v="0"/>
    <x v="642"/>
    <x v="0"/>
  </r>
  <r>
    <x v="643"/>
    <x v="27"/>
    <x v="2"/>
    <d v="2024-06-08T00:00:00"/>
    <s v="Internal"/>
    <x v="0"/>
    <x v="1"/>
    <x v="643"/>
    <x v="0"/>
  </r>
  <r>
    <x v="644"/>
    <x v="20"/>
    <x v="1"/>
    <d v="2024-06-07T00:00:00"/>
    <s v="Component"/>
    <x v="1"/>
    <x v="1"/>
    <x v="644"/>
    <x v="0"/>
  </r>
  <r>
    <x v="645"/>
    <x v="9"/>
    <x v="0"/>
    <d v="2024-01-14T00:00:00"/>
    <s v="Surface"/>
    <x v="2"/>
    <x v="0"/>
    <x v="645"/>
    <x v="5"/>
  </r>
  <r>
    <x v="646"/>
    <x v="50"/>
    <x v="2"/>
    <d v="2024-05-03T00:00:00"/>
    <s v="Component"/>
    <x v="2"/>
    <x v="1"/>
    <x v="646"/>
    <x v="4"/>
  </r>
  <r>
    <x v="647"/>
    <x v="49"/>
    <x v="2"/>
    <d v="2024-01-09T00:00:00"/>
    <s v="Component"/>
    <x v="1"/>
    <x v="0"/>
    <x v="647"/>
    <x v="5"/>
  </r>
  <r>
    <x v="648"/>
    <x v="79"/>
    <x v="2"/>
    <d v="2024-01-11T00:00:00"/>
    <s v="Internal"/>
    <x v="2"/>
    <x v="0"/>
    <x v="648"/>
    <x v="5"/>
  </r>
  <r>
    <x v="649"/>
    <x v="96"/>
    <x v="2"/>
    <d v="2024-05-21T00:00:00"/>
    <s v="Internal"/>
    <x v="2"/>
    <x v="2"/>
    <x v="649"/>
    <x v="4"/>
  </r>
  <r>
    <x v="650"/>
    <x v="74"/>
    <x v="0"/>
    <d v="2024-02-09T00:00:00"/>
    <s v="Internal"/>
    <x v="0"/>
    <x v="2"/>
    <x v="650"/>
    <x v="2"/>
  </r>
  <r>
    <x v="651"/>
    <x v="65"/>
    <x v="2"/>
    <d v="2024-04-19T00:00:00"/>
    <s v="Component"/>
    <x v="1"/>
    <x v="2"/>
    <x v="651"/>
    <x v="1"/>
  </r>
  <r>
    <x v="652"/>
    <x v="41"/>
    <x v="1"/>
    <d v="2024-02-29T00:00:00"/>
    <s v="Surface"/>
    <x v="0"/>
    <x v="1"/>
    <x v="652"/>
    <x v="2"/>
  </r>
  <r>
    <x v="653"/>
    <x v="11"/>
    <x v="2"/>
    <d v="2024-06-19T00:00:00"/>
    <s v="Surface"/>
    <x v="1"/>
    <x v="1"/>
    <x v="653"/>
    <x v="0"/>
  </r>
  <r>
    <x v="654"/>
    <x v="73"/>
    <x v="2"/>
    <d v="2024-03-16T00:00:00"/>
    <s v="Surface"/>
    <x v="2"/>
    <x v="1"/>
    <x v="654"/>
    <x v="3"/>
  </r>
  <r>
    <x v="655"/>
    <x v="16"/>
    <x v="2"/>
    <d v="2024-06-21T00:00:00"/>
    <s v="Surface"/>
    <x v="0"/>
    <x v="0"/>
    <x v="655"/>
    <x v="0"/>
  </r>
  <r>
    <x v="656"/>
    <x v="43"/>
    <x v="0"/>
    <d v="2024-03-27T00:00:00"/>
    <s v="Surface"/>
    <x v="1"/>
    <x v="2"/>
    <x v="656"/>
    <x v="3"/>
  </r>
  <r>
    <x v="657"/>
    <x v="91"/>
    <x v="0"/>
    <d v="2024-06-09T00:00:00"/>
    <s v="Surface"/>
    <x v="2"/>
    <x v="0"/>
    <x v="657"/>
    <x v="0"/>
  </r>
  <r>
    <x v="658"/>
    <x v="86"/>
    <x v="0"/>
    <d v="2024-01-19T00:00:00"/>
    <s v="Component"/>
    <x v="0"/>
    <x v="0"/>
    <x v="658"/>
    <x v="5"/>
  </r>
  <r>
    <x v="659"/>
    <x v="31"/>
    <x v="1"/>
    <d v="2024-03-28T00:00:00"/>
    <s v="Internal"/>
    <x v="0"/>
    <x v="0"/>
    <x v="659"/>
    <x v="3"/>
  </r>
  <r>
    <x v="660"/>
    <x v="28"/>
    <x v="0"/>
    <d v="2024-02-06T00:00:00"/>
    <s v="Component"/>
    <x v="2"/>
    <x v="0"/>
    <x v="660"/>
    <x v="2"/>
  </r>
  <r>
    <x v="661"/>
    <x v="52"/>
    <x v="2"/>
    <d v="2024-06-17T00:00:00"/>
    <s v="Surface"/>
    <x v="0"/>
    <x v="2"/>
    <x v="661"/>
    <x v="0"/>
  </r>
  <r>
    <x v="662"/>
    <x v="26"/>
    <x v="2"/>
    <d v="2024-01-13T00:00:00"/>
    <s v="Component"/>
    <x v="1"/>
    <x v="1"/>
    <x v="662"/>
    <x v="5"/>
  </r>
  <r>
    <x v="663"/>
    <x v="87"/>
    <x v="1"/>
    <d v="2024-01-26T00:00:00"/>
    <s v="Surface"/>
    <x v="1"/>
    <x v="0"/>
    <x v="663"/>
    <x v="5"/>
  </r>
  <r>
    <x v="664"/>
    <x v="99"/>
    <x v="1"/>
    <d v="2024-05-16T00:00:00"/>
    <s v="Component"/>
    <x v="0"/>
    <x v="2"/>
    <x v="664"/>
    <x v="4"/>
  </r>
  <r>
    <x v="665"/>
    <x v="10"/>
    <x v="0"/>
    <d v="2024-01-03T00:00:00"/>
    <s v="Component"/>
    <x v="1"/>
    <x v="0"/>
    <x v="665"/>
    <x v="5"/>
  </r>
  <r>
    <x v="666"/>
    <x v="31"/>
    <x v="2"/>
    <d v="2024-06-02T00:00:00"/>
    <s v="Surface"/>
    <x v="0"/>
    <x v="0"/>
    <x v="666"/>
    <x v="0"/>
  </r>
  <r>
    <x v="667"/>
    <x v="20"/>
    <x v="0"/>
    <d v="2024-02-26T00:00:00"/>
    <s v="Surface"/>
    <x v="1"/>
    <x v="1"/>
    <x v="667"/>
    <x v="2"/>
  </r>
  <r>
    <x v="668"/>
    <x v="25"/>
    <x v="1"/>
    <d v="2024-01-10T00:00:00"/>
    <s v="Surface"/>
    <x v="2"/>
    <x v="2"/>
    <x v="668"/>
    <x v="5"/>
  </r>
  <r>
    <x v="669"/>
    <x v="0"/>
    <x v="0"/>
    <d v="2024-02-19T00:00:00"/>
    <s v="Component"/>
    <x v="1"/>
    <x v="0"/>
    <x v="669"/>
    <x v="2"/>
  </r>
  <r>
    <x v="670"/>
    <x v="10"/>
    <x v="0"/>
    <d v="2024-04-21T00:00:00"/>
    <s v="Component"/>
    <x v="2"/>
    <x v="2"/>
    <x v="670"/>
    <x v="1"/>
  </r>
  <r>
    <x v="671"/>
    <x v="94"/>
    <x v="1"/>
    <d v="2024-05-19T00:00:00"/>
    <s v="Internal"/>
    <x v="2"/>
    <x v="1"/>
    <x v="671"/>
    <x v="4"/>
  </r>
  <r>
    <x v="672"/>
    <x v="16"/>
    <x v="1"/>
    <d v="2024-05-01T00:00:00"/>
    <s v="Internal"/>
    <x v="0"/>
    <x v="0"/>
    <x v="672"/>
    <x v="4"/>
  </r>
  <r>
    <x v="673"/>
    <x v="16"/>
    <x v="0"/>
    <d v="2024-01-06T00:00:00"/>
    <s v="Surface"/>
    <x v="2"/>
    <x v="0"/>
    <x v="673"/>
    <x v="5"/>
  </r>
  <r>
    <x v="674"/>
    <x v="71"/>
    <x v="2"/>
    <d v="2024-05-12T00:00:00"/>
    <s v="Surface"/>
    <x v="1"/>
    <x v="0"/>
    <x v="674"/>
    <x v="4"/>
  </r>
  <r>
    <x v="675"/>
    <x v="75"/>
    <x v="2"/>
    <d v="2024-04-06T00:00:00"/>
    <s v="Internal"/>
    <x v="1"/>
    <x v="0"/>
    <x v="675"/>
    <x v="1"/>
  </r>
  <r>
    <x v="676"/>
    <x v="47"/>
    <x v="0"/>
    <d v="2024-01-04T00:00:00"/>
    <s v="Component"/>
    <x v="1"/>
    <x v="0"/>
    <x v="634"/>
    <x v="5"/>
  </r>
  <r>
    <x v="677"/>
    <x v="93"/>
    <x v="1"/>
    <d v="2024-03-20T00:00:00"/>
    <s v="Component"/>
    <x v="1"/>
    <x v="2"/>
    <x v="676"/>
    <x v="3"/>
  </r>
  <r>
    <x v="678"/>
    <x v="69"/>
    <x v="0"/>
    <d v="2024-01-23T00:00:00"/>
    <s v="Internal"/>
    <x v="1"/>
    <x v="0"/>
    <x v="677"/>
    <x v="5"/>
  </r>
  <r>
    <x v="679"/>
    <x v="44"/>
    <x v="0"/>
    <d v="2024-01-19T00:00:00"/>
    <s v="Component"/>
    <x v="2"/>
    <x v="0"/>
    <x v="678"/>
    <x v="5"/>
  </r>
  <r>
    <x v="680"/>
    <x v="59"/>
    <x v="0"/>
    <d v="2024-01-16T00:00:00"/>
    <s v="Internal"/>
    <x v="1"/>
    <x v="0"/>
    <x v="679"/>
    <x v="5"/>
  </r>
  <r>
    <x v="681"/>
    <x v="1"/>
    <x v="0"/>
    <d v="2024-01-13T00:00:00"/>
    <s v="Component"/>
    <x v="2"/>
    <x v="2"/>
    <x v="680"/>
    <x v="5"/>
  </r>
  <r>
    <x v="682"/>
    <x v="78"/>
    <x v="2"/>
    <d v="2024-02-25T00:00:00"/>
    <s v="Component"/>
    <x v="0"/>
    <x v="0"/>
    <x v="681"/>
    <x v="2"/>
  </r>
  <r>
    <x v="683"/>
    <x v="20"/>
    <x v="0"/>
    <d v="2024-03-16T00:00:00"/>
    <s v="Component"/>
    <x v="2"/>
    <x v="2"/>
    <x v="682"/>
    <x v="3"/>
  </r>
  <r>
    <x v="684"/>
    <x v="95"/>
    <x v="0"/>
    <d v="2024-06-24T00:00:00"/>
    <s v="Surface"/>
    <x v="1"/>
    <x v="0"/>
    <x v="683"/>
    <x v="0"/>
  </r>
  <r>
    <x v="685"/>
    <x v="52"/>
    <x v="2"/>
    <d v="2024-01-23T00:00:00"/>
    <s v="Internal"/>
    <x v="1"/>
    <x v="1"/>
    <x v="684"/>
    <x v="5"/>
  </r>
  <r>
    <x v="686"/>
    <x v="66"/>
    <x v="1"/>
    <d v="2024-03-16T00:00:00"/>
    <s v="Component"/>
    <x v="0"/>
    <x v="0"/>
    <x v="685"/>
    <x v="3"/>
  </r>
  <r>
    <x v="687"/>
    <x v="38"/>
    <x v="0"/>
    <d v="2024-02-18T00:00:00"/>
    <s v="Surface"/>
    <x v="0"/>
    <x v="2"/>
    <x v="686"/>
    <x v="2"/>
  </r>
  <r>
    <x v="688"/>
    <x v="58"/>
    <x v="2"/>
    <d v="2024-03-09T00:00:00"/>
    <s v="Surface"/>
    <x v="1"/>
    <x v="2"/>
    <x v="687"/>
    <x v="3"/>
  </r>
  <r>
    <x v="689"/>
    <x v="71"/>
    <x v="2"/>
    <d v="2024-05-26T00:00:00"/>
    <s v="Component"/>
    <x v="0"/>
    <x v="1"/>
    <x v="688"/>
    <x v="4"/>
  </r>
  <r>
    <x v="690"/>
    <x v="75"/>
    <x v="1"/>
    <d v="2024-05-31T00:00:00"/>
    <s v="Internal"/>
    <x v="1"/>
    <x v="2"/>
    <x v="689"/>
    <x v="4"/>
  </r>
  <r>
    <x v="691"/>
    <x v="19"/>
    <x v="2"/>
    <d v="2024-02-18T00:00:00"/>
    <s v="Component"/>
    <x v="1"/>
    <x v="1"/>
    <x v="690"/>
    <x v="2"/>
  </r>
  <r>
    <x v="692"/>
    <x v="77"/>
    <x v="0"/>
    <d v="2024-06-26T00:00:00"/>
    <s v="Component"/>
    <x v="0"/>
    <x v="2"/>
    <x v="691"/>
    <x v="0"/>
  </r>
  <r>
    <x v="693"/>
    <x v="78"/>
    <x v="2"/>
    <d v="2024-02-16T00:00:00"/>
    <s v="Surface"/>
    <x v="1"/>
    <x v="2"/>
    <x v="692"/>
    <x v="2"/>
  </r>
  <r>
    <x v="694"/>
    <x v="62"/>
    <x v="2"/>
    <d v="2024-04-20T00:00:00"/>
    <s v="Component"/>
    <x v="2"/>
    <x v="0"/>
    <x v="693"/>
    <x v="1"/>
  </r>
  <r>
    <x v="695"/>
    <x v="2"/>
    <x v="1"/>
    <d v="2024-01-06T00:00:00"/>
    <s v="Component"/>
    <x v="2"/>
    <x v="0"/>
    <x v="694"/>
    <x v="5"/>
  </r>
  <r>
    <x v="696"/>
    <x v="30"/>
    <x v="2"/>
    <d v="2024-04-02T00:00:00"/>
    <s v="Surface"/>
    <x v="1"/>
    <x v="2"/>
    <x v="695"/>
    <x v="1"/>
  </r>
  <r>
    <x v="697"/>
    <x v="74"/>
    <x v="2"/>
    <d v="2024-03-29T00:00:00"/>
    <s v="Component"/>
    <x v="2"/>
    <x v="0"/>
    <x v="696"/>
    <x v="3"/>
  </r>
  <r>
    <x v="698"/>
    <x v="61"/>
    <x v="2"/>
    <d v="2024-04-04T00:00:00"/>
    <s v="Component"/>
    <x v="1"/>
    <x v="1"/>
    <x v="697"/>
    <x v="1"/>
  </r>
  <r>
    <x v="699"/>
    <x v="70"/>
    <x v="2"/>
    <d v="2024-02-13T00:00:00"/>
    <s v="Surface"/>
    <x v="0"/>
    <x v="2"/>
    <x v="698"/>
    <x v="2"/>
  </r>
  <r>
    <x v="700"/>
    <x v="19"/>
    <x v="1"/>
    <d v="2024-03-30T00:00:00"/>
    <s v="Component"/>
    <x v="0"/>
    <x v="2"/>
    <x v="699"/>
    <x v="3"/>
  </r>
  <r>
    <x v="701"/>
    <x v="45"/>
    <x v="2"/>
    <d v="2024-04-20T00:00:00"/>
    <s v="Component"/>
    <x v="0"/>
    <x v="0"/>
    <x v="700"/>
    <x v="1"/>
  </r>
  <r>
    <x v="702"/>
    <x v="74"/>
    <x v="0"/>
    <d v="2024-01-31T00:00:00"/>
    <s v="Internal"/>
    <x v="0"/>
    <x v="1"/>
    <x v="701"/>
    <x v="5"/>
  </r>
  <r>
    <x v="703"/>
    <x v="40"/>
    <x v="0"/>
    <d v="2024-02-02T00:00:00"/>
    <s v="Internal"/>
    <x v="1"/>
    <x v="0"/>
    <x v="702"/>
    <x v="2"/>
  </r>
  <r>
    <x v="704"/>
    <x v="88"/>
    <x v="1"/>
    <d v="2024-02-03T00:00:00"/>
    <s v="Internal"/>
    <x v="2"/>
    <x v="1"/>
    <x v="703"/>
    <x v="2"/>
  </r>
  <r>
    <x v="705"/>
    <x v="90"/>
    <x v="1"/>
    <d v="2024-05-24T00:00:00"/>
    <s v="Component"/>
    <x v="2"/>
    <x v="0"/>
    <x v="704"/>
    <x v="4"/>
  </r>
  <r>
    <x v="706"/>
    <x v="11"/>
    <x v="1"/>
    <d v="2024-03-14T00:00:00"/>
    <s v="Surface"/>
    <x v="1"/>
    <x v="1"/>
    <x v="705"/>
    <x v="3"/>
  </r>
  <r>
    <x v="707"/>
    <x v="48"/>
    <x v="1"/>
    <d v="2024-04-09T00:00:00"/>
    <s v="Component"/>
    <x v="0"/>
    <x v="2"/>
    <x v="706"/>
    <x v="1"/>
  </r>
  <r>
    <x v="708"/>
    <x v="37"/>
    <x v="1"/>
    <d v="2024-03-10T00:00:00"/>
    <s v="Component"/>
    <x v="0"/>
    <x v="1"/>
    <x v="707"/>
    <x v="3"/>
  </r>
  <r>
    <x v="709"/>
    <x v="75"/>
    <x v="2"/>
    <d v="2024-06-26T00:00:00"/>
    <s v="Surface"/>
    <x v="2"/>
    <x v="0"/>
    <x v="708"/>
    <x v="0"/>
  </r>
  <r>
    <x v="710"/>
    <x v="36"/>
    <x v="2"/>
    <d v="2024-05-28T00:00:00"/>
    <s v="Internal"/>
    <x v="0"/>
    <x v="2"/>
    <x v="709"/>
    <x v="4"/>
  </r>
  <r>
    <x v="711"/>
    <x v="14"/>
    <x v="0"/>
    <d v="2024-03-30T00:00:00"/>
    <s v="Surface"/>
    <x v="0"/>
    <x v="0"/>
    <x v="710"/>
    <x v="3"/>
  </r>
  <r>
    <x v="712"/>
    <x v="36"/>
    <x v="0"/>
    <d v="2024-02-29T00:00:00"/>
    <s v="Internal"/>
    <x v="1"/>
    <x v="1"/>
    <x v="711"/>
    <x v="2"/>
  </r>
  <r>
    <x v="713"/>
    <x v="65"/>
    <x v="2"/>
    <d v="2024-06-04T00:00:00"/>
    <s v="Component"/>
    <x v="0"/>
    <x v="0"/>
    <x v="712"/>
    <x v="0"/>
  </r>
  <r>
    <x v="714"/>
    <x v="60"/>
    <x v="1"/>
    <d v="2024-04-21T00:00:00"/>
    <s v="Surface"/>
    <x v="2"/>
    <x v="2"/>
    <x v="713"/>
    <x v="1"/>
  </r>
  <r>
    <x v="715"/>
    <x v="11"/>
    <x v="0"/>
    <d v="2024-04-05T00:00:00"/>
    <s v="Surface"/>
    <x v="0"/>
    <x v="0"/>
    <x v="714"/>
    <x v="1"/>
  </r>
  <r>
    <x v="716"/>
    <x v="2"/>
    <x v="2"/>
    <d v="2024-01-01T00:00:00"/>
    <s v="Internal"/>
    <x v="0"/>
    <x v="2"/>
    <x v="715"/>
    <x v="5"/>
  </r>
  <r>
    <x v="717"/>
    <x v="20"/>
    <x v="2"/>
    <d v="2024-03-11T00:00:00"/>
    <s v="Internal"/>
    <x v="0"/>
    <x v="1"/>
    <x v="716"/>
    <x v="3"/>
  </r>
  <r>
    <x v="718"/>
    <x v="78"/>
    <x v="2"/>
    <d v="2024-04-04T00:00:00"/>
    <s v="Internal"/>
    <x v="0"/>
    <x v="2"/>
    <x v="717"/>
    <x v="1"/>
  </r>
  <r>
    <x v="719"/>
    <x v="72"/>
    <x v="1"/>
    <d v="2024-02-02T00:00:00"/>
    <s v="Internal"/>
    <x v="2"/>
    <x v="2"/>
    <x v="718"/>
    <x v="2"/>
  </r>
  <r>
    <x v="720"/>
    <x v="63"/>
    <x v="2"/>
    <d v="2024-04-26T00:00:00"/>
    <s v="Component"/>
    <x v="2"/>
    <x v="2"/>
    <x v="719"/>
    <x v="1"/>
  </r>
  <r>
    <x v="721"/>
    <x v="79"/>
    <x v="0"/>
    <d v="2024-03-10T00:00:00"/>
    <s v="Internal"/>
    <x v="0"/>
    <x v="2"/>
    <x v="720"/>
    <x v="3"/>
  </r>
  <r>
    <x v="722"/>
    <x v="26"/>
    <x v="0"/>
    <d v="2024-01-27T00:00:00"/>
    <s v="Internal"/>
    <x v="1"/>
    <x v="0"/>
    <x v="721"/>
    <x v="5"/>
  </r>
  <r>
    <x v="723"/>
    <x v="27"/>
    <x v="0"/>
    <d v="2024-02-21T00:00:00"/>
    <s v="Surface"/>
    <x v="2"/>
    <x v="2"/>
    <x v="722"/>
    <x v="2"/>
  </r>
  <r>
    <x v="724"/>
    <x v="0"/>
    <x v="2"/>
    <d v="2024-03-27T00:00:00"/>
    <s v="Surface"/>
    <x v="0"/>
    <x v="0"/>
    <x v="723"/>
    <x v="3"/>
  </r>
  <r>
    <x v="725"/>
    <x v="34"/>
    <x v="2"/>
    <d v="2024-02-25T00:00:00"/>
    <s v="Surface"/>
    <x v="1"/>
    <x v="1"/>
    <x v="724"/>
    <x v="2"/>
  </r>
  <r>
    <x v="726"/>
    <x v="32"/>
    <x v="1"/>
    <d v="2024-01-12T00:00:00"/>
    <s v="Surface"/>
    <x v="0"/>
    <x v="1"/>
    <x v="725"/>
    <x v="5"/>
  </r>
  <r>
    <x v="727"/>
    <x v="44"/>
    <x v="0"/>
    <d v="2024-01-10T00:00:00"/>
    <s v="Component"/>
    <x v="1"/>
    <x v="2"/>
    <x v="726"/>
    <x v="5"/>
  </r>
  <r>
    <x v="728"/>
    <x v="14"/>
    <x v="0"/>
    <d v="2024-02-28T00:00:00"/>
    <s v="Component"/>
    <x v="2"/>
    <x v="2"/>
    <x v="727"/>
    <x v="2"/>
  </r>
  <r>
    <x v="729"/>
    <x v="49"/>
    <x v="0"/>
    <d v="2024-03-19T00:00:00"/>
    <s v="Surface"/>
    <x v="0"/>
    <x v="1"/>
    <x v="728"/>
    <x v="3"/>
  </r>
  <r>
    <x v="730"/>
    <x v="90"/>
    <x v="2"/>
    <d v="2024-05-30T00:00:00"/>
    <s v="Component"/>
    <x v="2"/>
    <x v="2"/>
    <x v="729"/>
    <x v="4"/>
  </r>
  <r>
    <x v="731"/>
    <x v="63"/>
    <x v="0"/>
    <d v="2024-02-21T00:00:00"/>
    <s v="Internal"/>
    <x v="0"/>
    <x v="1"/>
    <x v="730"/>
    <x v="2"/>
  </r>
  <r>
    <x v="732"/>
    <x v="17"/>
    <x v="1"/>
    <d v="2024-02-06T00:00:00"/>
    <s v="Surface"/>
    <x v="2"/>
    <x v="2"/>
    <x v="731"/>
    <x v="2"/>
  </r>
  <r>
    <x v="733"/>
    <x v="6"/>
    <x v="1"/>
    <d v="2024-02-16T00:00:00"/>
    <s v="Surface"/>
    <x v="2"/>
    <x v="1"/>
    <x v="732"/>
    <x v="2"/>
  </r>
  <r>
    <x v="734"/>
    <x v="23"/>
    <x v="0"/>
    <d v="2024-02-12T00:00:00"/>
    <s v="Surface"/>
    <x v="1"/>
    <x v="2"/>
    <x v="733"/>
    <x v="2"/>
  </r>
  <r>
    <x v="735"/>
    <x v="16"/>
    <x v="1"/>
    <d v="2024-01-21T00:00:00"/>
    <s v="Component"/>
    <x v="0"/>
    <x v="1"/>
    <x v="734"/>
    <x v="5"/>
  </r>
  <r>
    <x v="736"/>
    <x v="92"/>
    <x v="0"/>
    <d v="2024-04-14T00:00:00"/>
    <s v="Component"/>
    <x v="2"/>
    <x v="0"/>
    <x v="735"/>
    <x v="1"/>
  </r>
  <r>
    <x v="737"/>
    <x v="18"/>
    <x v="0"/>
    <d v="2024-05-04T00:00:00"/>
    <s v="Internal"/>
    <x v="0"/>
    <x v="2"/>
    <x v="736"/>
    <x v="4"/>
  </r>
  <r>
    <x v="738"/>
    <x v="56"/>
    <x v="2"/>
    <d v="2024-02-04T00:00:00"/>
    <s v="Component"/>
    <x v="2"/>
    <x v="2"/>
    <x v="737"/>
    <x v="2"/>
  </r>
  <r>
    <x v="739"/>
    <x v="37"/>
    <x v="1"/>
    <d v="2024-04-23T00:00:00"/>
    <s v="Internal"/>
    <x v="2"/>
    <x v="2"/>
    <x v="738"/>
    <x v="1"/>
  </r>
  <r>
    <x v="740"/>
    <x v="73"/>
    <x v="2"/>
    <d v="2024-04-06T00:00:00"/>
    <s v="Internal"/>
    <x v="0"/>
    <x v="0"/>
    <x v="739"/>
    <x v="1"/>
  </r>
  <r>
    <x v="741"/>
    <x v="30"/>
    <x v="2"/>
    <d v="2024-01-06T00:00:00"/>
    <s v="Internal"/>
    <x v="1"/>
    <x v="1"/>
    <x v="740"/>
    <x v="5"/>
  </r>
  <r>
    <x v="742"/>
    <x v="60"/>
    <x v="2"/>
    <d v="2024-01-24T00:00:00"/>
    <s v="Internal"/>
    <x v="0"/>
    <x v="2"/>
    <x v="741"/>
    <x v="5"/>
  </r>
  <r>
    <x v="743"/>
    <x v="8"/>
    <x v="2"/>
    <d v="2024-06-10T00:00:00"/>
    <s v="Component"/>
    <x v="0"/>
    <x v="2"/>
    <x v="742"/>
    <x v="0"/>
  </r>
  <r>
    <x v="744"/>
    <x v="62"/>
    <x v="2"/>
    <d v="2024-05-08T00:00:00"/>
    <s v="Internal"/>
    <x v="2"/>
    <x v="0"/>
    <x v="743"/>
    <x v="4"/>
  </r>
  <r>
    <x v="745"/>
    <x v="57"/>
    <x v="0"/>
    <d v="2024-02-09T00:00:00"/>
    <s v="Component"/>
    <x v="0"/>
    <x v="2"/>
    <x v="744"/>
    <x v="2"/>
  </r>
  <r>
    <x v="746"/>
    <x v="46"/>
    <x v="2"/>
    <d v="2024-03-03T00:00:00"/>
    <s v="Surface"/>
    <x v="0"/>
    <x v="0"/>
    <x v="745"/>
    <x v="3"/>
  </r>
  <r>
    <x v="747"/>
    <x v="70"/>
    <x v="2"/>
    <d v="2024-02-14T00:00:00"/>
    <s v="Internal"/>
    <x v="2"/>
    <x v="2"/>
    <x v="746"/>
    <x v="2"/>
  </r>
  <r>
    <x v="748"/>
    <x v="35"/>
    <x v="1"/>
    <d v="2024-06-17T00:00:00"/>
    <s v="Component"/>
    <x v="0"/>
    <x v="0"/>
    <x v="747"/>
    <x v="0"/>
  </r>
  <r>
    <x v="749"/>
    <x v="39"/>
    <x v="1"/>
    <d v="2024-03-23T00:00:00"/>
    <s v="Surface"/>
    <x v="2"/>
    <x v="2"/>
    <x v="748"/>
    <x v="3"/>
  </r>
  <r>
    <x v="750"/>
    <x v="24"/>
    <x v="1"/>
    <d v="2024-01-14T00:00:00"/>
    <s v="Component"/>
    <x v="0"/>
    <x v="2"/>
    <x v="749"/>
    <x v="5"/>
  </r>
  <r>
    <x v="751"/>
    <x v="18"/>
    <x v="1"/>
    <d v="2024-05-12T00:00:00"/>
    <s v="Surface"/>
    <x v="2"/>
    <x v="1"/>
    <x v="750"/>
    <x v="4"/>
  </r>
  <r>
    <x v="752"/>
    <x v="64"/>
    <x v="2"/>
    <d v="2024-01-08T00:00:00"/>
    <s v="Surface"/>
    <x v="1"/>
    <x v="0"/>
    <x v="751"/>
    <x v="5"/>
  </r>
  <r>
    <x v="753"/>
    <x v="5"/>
    <x v="0"/>
    <d v="2024-01-13T00:00:00"/>
    <s v="Component"/>
    <x v="0"/>
    <x v="2"/>
    <x v="752"/>
    <x v="5"/>
  </r>
  <r>
    <x v="754"/>
    <x v="7"/>
    <x v="2"/>
    <d v="2024-01-01T00:00:00"/>
    <s v="Component"/>
    <x v="1"/>
    <x v="2"/>
    <x v="753"/>
    <x v="5"/>
  </r>
  <r>
    <x v="755"/>
    <x v="72"/>
    <x v="1"/>
    <d v="2024-06-12T00:00:00"/>
    <s v="Component"/>
    <x v="0"/>
    <x v="2"/>
    <x v="754"/>
    <x v="0"/>
  </r>
  <r>
    <x v="756"/>
    <x v="95"/>
    <x v="1"/>
    <d v="2024-03-17T00:00:00"/>
    <s v="Surface"/>
    <x v="2"/>
    <x v="2"/>
    <x v="755"/>
    <x v="3"/>
  </r>
  <r>
    <x v="757"/>
    <x v="31"/>
    <x v="2"/>
    <d v="2024-01-22T00:00:00"/>
    <s v="Internal"/>
    <x v="2"/>
    <x v="1"/>
    <x v="756"/>
    <x v="5"/>
  </r>
  <r>
    <x v="758"/>
    <x v="95"/>
    <x v="2"/>
    <d v="2024-03-23T00:00:00"/>
    <s v="Surface"/>
    <x v="2"/>
    <x v="2"/>
    <x v="757"/>
    <x v="3"/>
  </r>
  <r>
    <x v="759"/>
    <x v="49"/>
    <x v="0"/>
    <d v="2024-06-22T00:00:00"/>
    <s v="Surface"/>
    <x v="1"/>
    <x v="2"/>
    <x v="758"/>
    <x v="0"/>
  </r>
  <r>
    <x v="760"/>
    <x v="19"/>
    <x v="1"/>
    <d v="2024-01-05T00:00:00"/>
    <s v="Component"/>
    <x v="1"/>
    <x v="1"/>
    <x v="759"/>
    <x v="5"/>
  </r>
  <r>
    <x v="761"/>
    <x v="60"/>
    <x v="2"/>
    <d v="2024-02-15T00:00:00"/>
    <s v="Internal"/>
    <x v="1"/>
    <x v="2"/>
    <x v="760"/>
    <x v="2"/>
  </r>
  <r>
    <x v="762"/>
    <x v="63"/>
    <x v="2"/>
    <d v="2024-04-24T00:00:00"/>
    <s v="Component"/>
    <x v="0"/>
    <x v="1"/>
    <x v="761"/>
    <x v="1"/>
  </r>
  <r>
    <x v="763"/>
    <x v="95"/>
    <x v="0"/>
    <d v="2024-04-26T00:00:00"/>
    <s v="Internal"/>
    <x v="0"/>
    <x v="0"/>
    <x v="762"/>
    <x v="1"/>
  </r>
  <r>
    <x v="764"/>
    <x v="55"/>
    <x v="0"/>
    <d v="2024-04-26T00:00:00"/>
    <s v="Component"/>
    <x v="0"/>
    <x v="0"/>
    <x v="763"/>
    <x v="1"/>
  </r>
  <r>
    <x v="765"/>
    <x v="33"/>
    <x v="2"/>
    <d v="2024-04-06T00:00:00"/>
    <s v="Component"/>
    <x v="2"/>
    <x v="0"/>
    <x v="764"/>
    <x v="1"/>
  </r>
  <r>
    <x v="766"/>
    <x v="18"/>
    <x v="0"/>
    <d v="2024-03-23T00:00:00"/>
    <s v="Component"/>
    <x v="0"/>
    <x v="1"/>
    <x v="765"/>
    <x v="3"/>
  </r>
  <r>
    <x v="767"/>
    <x v="28"/>
    <x v="2"/>
    <d v="2024-01-09T00:00:00"/>
    <s v="Internal"/>
    <x v="2"/>
    <x v="0"/>
    <x v="766"/>
    <x v="5"/>
  </r>
  <r>
    <x v="768"/>
    <x v="64"/>
    <x v="0"/>
    <d v="2024-06-26T00:00:00"/>
    <s v="Component"/>
    <x v="0"/>
    <x v="0"/>
    <x v="767"/>
    <x v="0"/>
  </r>
  <r>
    <x v="769"/>
    <x v="58"/>
    <x v="0"/>
    <d v="2024-04-24T00:00:00"/>
    <s v="Surface"/>
    <x v="2"/>
    <x v="0"/>
    <x v="768"/>
    <x v="1"/>
  </r>
  <r>
    <x v="770"/>
    <x v="62"/>
    <x v="0"/>
    <d v="2024-01-13T00:00:00"/>
    <s v="Internal"/>
    <x v="1"/>
    <x v="2"/>
    <x v="769"/>
    <x v="5"/>
  </r>
  <r>
    <x v="771"/>
    <x v="61"/>
    <x v="2"/>
    <d v="2024-06-11T00:00:00"/>
    <s v="Surface"/>
    <x v="1"/>
    <x v="2"/>
    <x v="770"/>
    <x v="0"/>
  </r>
  <r>
    <x v="772"/>
    <x v="89"/>
    <x v="1"/>
    <d v="2024-03-30T00:00:00"/>
    <s v="Component"/>
    <x v="0"/>
    <x v="1"/>
    <x v="771"/>
    <x v="3"/>
  </r>
  <r>
    <x v="773"/>
    <x v="52"/>
    <x v="0"/>
    <d v="2024-03-17T00:00:00"/>
    <s v="Surface"/>
    <x v="1"/>
    <x v="2"/>
    <x v="772"/>
    <x v="3"/>
  </r>
  <r>
    <x v="774"/>
    <x v="48"/>
    <x v="2"/>
    <d v="2024-05-16T00:00:00"/>
    <s v="Surface"/>
    <x v="0"/>
    <x v="0"/>
    <x v="132"/>
    <x v="4"/>
  </r>
  <r>
    <x v="775"/>
    <x v="90"/>
    <x v="0"/>
    <d v="2024-05-02T00:00:00"/>
    <s v="Surface"/>
    <x v="0"/>
    <x v="1"/>
    <x v="773"/>
    <x v="4"/>
  </r>
  <r>
    <x v="776"/>
    <x v="82"/>
    <x v="1"/>
    <d v="2024-05-31T00:00:00"/>
    <s v="Component"/>
    <x v="2"/>
    <x v="0"/>
    <x v="774"/>
    <x v="4"/>
  </r>
  <r>
    <x v="777"/>
    <x v="49"/>
    <x v="1"/>
    <d v="2024-01-16T00:00:00"/>
    <s v="Component"/>
    <x v="1"/>
    <x v="2"/>
    <x v="775"/>
    <x v="5"/>
  </r>
  <r>
    <x v="778"/>
    <x v="51"/>
    <x v="0"/>
    <d v="2024-03-24T00:00:00"/>
    <s v="Internal"/>
    <x v="1"/>
    <x v="2"/>
    <x v="776"/>
    <x v="3"/>
  </r>
  <r>
    <x v="779"/>
    <x v="18"/>
    <x v="1"/>
    <d v="2024-02-05T00:00:00"/>
    <s v="Surface"/>
    <x v="0"/>
    <x v="2"/>
    <x v="777"/>
    <x v="2"/>
  </r>
  <r>
    <x v="780"/>
    <x v="3"/>
    <x v="2"/>
    <d v="2024-05-30T00:00:00"/>
    <s v="Component"/>
    <x v="0"/>
    <x v="2"/>
    <x v="778"/>
    <x v="4"/>
  </r>
  <r>
    <x v="781"/>
    <x v="32"/>
    <x v="1"/>
    <d v="2024-04-04T00:00:00"/>
    <s v="Internal"/>
    <x v="2"/>
    <x v="0"/>
    <x v="779"/>
    <x v="1"/>
  </r>
  <r>
    <x v="782"/>
    <x v="43"/>
    <x v="2"/>
    <d v="2024-04-09T00:00:00"/>
    <s v="Internal"/>
    <x v="2"/>
    <x v="1"/>
    <x v="780"/>
    <x v="1"/>
  </r>
  <r>
    <x v="783"/>
    <x v="47"/>
    <x v="1"/>
    <d v="2024-03-30T00:00:00"/>
    <s v="Surface"/>
    <x v="2"/>
    <x v="1"/>
    <x v="781"/>
    <x v="3"/>
  </r>
  <r>
    <x v="784"/>
    <x v="16"/>
    <x v="2"/>
    <d v="2024-04-07T00:00:00"/>
    <s v="Surface"/>
    <x v="2"/>
    <x v="0"/>
    <x v="782"/>
    <x v="1"/>
  </r>
  <r>
    <x v="785"/>
    <x v="88"/>
    <x v="2"/>
    <d v="2024-06-24T00:00:00"/>
    <s v="Surface"/>
    <x v="0"/>
    <x v="1"/>
    <x v="783"/>
    <x v="0"/>
  </r>
  <r>
    <x v="786"/>
    <x v="36"/>
    <x v="1"/>
    <d v="2024-01-23T00:00:00"/>
    <s v="Surface"/>
    <x v="0"/>
    <x v="2"/>
    <x v="784"/>
    <x v="5"/>
  </r>
  <r>
    <x v="787"/>
    <x v="70"/>
    <x v="0"/>
    <d v="2024-01-25T00:00:00"/>
    <s v="Component"/>
    <x v="1"/>
    <x v="1"/>
    <x v="785"/>
    <x v="5"/>
  </r>
  <r>
    <x v="788"/>
    <x v="88"/>
    <x v="0"/>
    <d v="2024-01-21T00:00:00"/>
    <s v="Surface"/>
    <x v="0"/>
    <x v="1"/>
    <x v="786"/>
    <x v="5"/>
  </r>
  <r>
    <x v="789"/>
    <x v="25"/>
    <x v="0"/>
    <d v="2024-03-10T00:00:00"/>
    <s v="Internal"/>
    <x v="1"/>
    <x v="2"/>
    <x v="787"/>
    <x v="3"/>
  </r>
  <r>
    <x v="790"/>
    <x v="91"/>
    <x v="1"/>
    <d v="2024-04-15T00:00:00"/>
    <s v="Surface"/>
    <x v="0"/>
    <x v="1"/>
    <x v="788"/>
    <x v="1"/>
  </r>
  <r>
    <x v="791"/>
    <x v="66"/>
    <x v="1"/>
    <d v="2024-03-05T00:00:00"/>
    <s v="Internal"/>
    <x v="0"/>
    <x v="2"/>
    <x v="789"/>
    <x v="3"/>
  </r>
  <r>
    <x v="792"/>
    <x v="37"/>
    <x v="1"/>
    <d v="2024-05-07T00:00:00"/>
    <s v="Component"/>
    <x v="2"/>
    <x v="0"/>
    <x v="790"/>
    <x v="4"/>
  </r>
  <r>
    <x v="793"/>
    <x v="18"/>
    <x v="0"/>
    <d v="2024-03-21T00:00:00"/>
    <s v="Internal"/>
    <x v="1"/>
    <x v="1"/>
    <x v="791"/>
    <x v="3"/>
  </r>
  <r>
    <x v="794"/>
    <x v="64"/>
    <x v="0"/>
    <d v="2024-03-08T00:00:00"/>
    <s v="Internal"/>
    <x v="0"/>
    <x v="1"/>
    <x v="792"/>
    <x v="3"/>
  </r>
  <r>
    <x v="795"/>
    <x v="64"/>
    <x v="0"/>
    <d v="2024-05-08T00:00:00"/>
    <s v="Component"/>
    <x v="0"/>
    <x v="0"/>
    <x v="793"/>
    <x v="4"/>
  </r>
  <r>
    <x v="796"/>
    <x v="41"/>
    <x v="2"/>
    <d v="2024-06-09T00:00:00"/>
    <s v="Surface"/>
    <x v="2"/>
    <x v="0"/>
    <x v="794"/>
    <x v="0"/>
  </r>
  <r>
    <x v="797"/>
    <x v="72"/>
    <x v="1"/>
    <d v="2024-05-10T00:00:00"/>
    <s v="Component"/>
    <x v="1"/>
    <x v="0"/>
    <x v="679"/>
    <x v="4"/>
  </r>
  <r>
    <x v="798"/>
    <x v="12"/>
    <x v="0"/>
    <d v="2024-06-08T00:00:00"/>
    <s v="Component"/>
    <x v="2"/>
    <x v="2"/>
    <x v="795"/>
    <x v="0"/>
  </r>
  <r>
    <x v="799"/>
    <x v="83"/>
    <x v="2"/>
    <d v="2024-05-30T00:00:00"/>
    <s v="Internal"/>
    <x v="0"/>
    <x v="1"/>
    <x v="796"/>
    <x v="4"/>
  </r>
  <r>
    <x v="800"/>
    <x v="72"/>
    <x v="2"/>
    <d v="2024-03-18T00:00:00"/>
    <s v="Surface"/>
    <x v="2"/>
    <x v="0"/>
    <x v="797"/>
    <x v="3"/>
  </r>
  <r>
    <x v="801"/>
    <x v="56"/>
    <x v="1"/>
    <d v="2024-03-17T00:00:00"/>
    <s v="Component"/>
    <x v="2"/>
    <x v="0"/>
    <x v="798"/>
    <x v="3"/>
  </r>
  <r>
    <x v="802"/>
    <x v="57"/>
    <x v="0"/>
    <d v="2024-01-08T00:00:00"/>
    <s v="Internal"/>
    <x v="1"/>
    <x v="0"/>
    <x v="799"/>
    <x v="5"/>
  </r>
  <r>
    <x v="803"/>
    <x v="21"/>
    <x v="0"/>
    <d v="2024-01-06T00:00:00"/>
    <s v="Surface"/>
    <x v="0"/>
    <x v="0"/>
    <x v="800"/>
    <x v="5"/>
  </r>
  <r>
    <x v="804"/>
    <x v="84"/>
    <x v="1"/>
    <d v="2024-04-17T00:00:00"/>
    <s v="Surface"/>
    <x v="2"/>
    <x v="2"/>
    <x v="801"/>
    <x v="1"/>
  </r>
  <r>
    <x v="805"/>
    <x v="48"/>
    <x v="1"/>
    <d v="2024-04-08T00:00:00"/>
    <s v="Internal"/>
    <x v="1"/>
    <x v="2"/>
    <x v="802"/>
    <x v="1"/>
  </r>
  <r>
    <x v="806"/>
    <x v="66"/>
    <x v="2"/>
    <d v="2024-01-28T00:00:00"/>
    <s v="Surface"/>
    <x v="0"/>
    <x v="1"/>
    <x v="803"/>
    <x v="5"/>
  </r>
  <r>
    <x v="807"/>
    <x v="66"/>
    <x v="2"/>
    <d v="2024-03-30T00:00:00"/>
    <s v="Component"/>
    <x v="0"/>
    <x v="0"/>
    <x v="804"/>
    <x v="3"/>
  </r>
  <r>
    <x v="808"/>
    <x v="59"/>
    <x v="0"/>
    <d v="2024-03-19T00:00:00"/>
    <s v="Surface"/>
    <x v="0"/>
    <x v="0"/>
    <x v="805"/>
    <x v="3"/>
  </r>
  <r>
    <x v="809"/>
    <x v="72"/>
    <x v="1"/>
    <d v="2024-06-30T00:00:00"/>
    <s v="Component"/>
    <x v="1"/>
    <x v="2"/>
    <x v="806"/>
    <x v="0"/>
  </r>
  <r>
    <x v="810"/>
    <x v="40"/>
    <x v="1"/>
    <d v="2024-05-15T00:00:00"/>
    <s v="Surface"/>
    <x v="2"/>
    <x v="0"/>
    <x v="807"/>
    <x v="4"/>
  </r>
  <r>
    <x v="811"/>
    <x v="79"/>
    <x v="0"/>
    <d v="2024-03-18T00:00:00"/>
    <s v="Internal"/>
    <x v="1"/>
    <x v="1"/>
    <x v="808"/>
    <x v="3"/>
  </r>
  <r>
    <x v="812"/>
    <x v="57"/>
    <x v="1"/>
    <d v="2024-05-06T00:00:00"/>
    <s v="Surface"/>
    <x v="0"/>
    <x v="0"/>
    <x v="809"/>
    <x v="4"/>
  </r>
  <r>
    <x v="813"/>
    <x v="37"/>
    <x v="0"/>
    <d v="2024-01-06T00:00:00"/>
    <s v="Component"/>
    <x v="0"/>
    <x v="2"/>
    <x v="810"/>
    <x v="5"/>
  </r>
  <r>
    <x v="814"/>
    <x v="38"/>
    <x v="0"/>
    <d v="2024-06-21T00:00:00"/>
    <s v="Surface"/>
    <x v="2"/>
    <x v="0"/>
    <x v="811"/>
    <x v="0"/>
  </r>
  <r>
    <x v="815"/>
    <x v="45"/>
    <x v="1"/>
    <d v="2024-03-17T00:00:00"/>
    <s v="Surface"/>
    <x v="0"/>
    <x v="2"/>
    <x v="812"/>
    <x v="3"/>
  </r>
  <r>
    <x v="816"/>
    <x v="71"/>
    <x v="0"/>
    <d v="2024-03-31T00:00:00"/>
    <s v="Internal"/>
    <x v="1"/>
    <x v="1"/>
    <x v="813"/>
    <x v="3"/>
  </r>
  <r>
    <x v="817"/>
    <x v="81"/>
    <x v="1"/>
    <d v="2024-03-06T00:00:00"/>
    <s v="Component"/>
    <x v="1"/>
    <x v="0"/>
    <x v="814"/>
    <x v="3"/>
  </r>
  <r>
    <x v="818"/>
    <x v="16"/>
    <x v="2"/>
    <d v="2024-02-28T00:00:00"/>
    <s v="Surface"/>
    <x v="1"/>
    <x v="1"/>
    <x v="815"/>
    <x v="2"/>
  </r>
  <r>
    <x v="819"/>
    <x v="69"/>
    <x v="1"/>
    <d v="2024-02-19T00:00:00"/>
    <s v="Component"/>
    <x v="1"/>
    <x v="2"/>
    <x v="816"/>
    <x v="2"/>
  </r>
  <r>
    <x v="820"/>
    <x v="38"/>
    <x v="2"/>
    <d v="2024-02-11T00:00:00"/>
    <s v="Surface"/>
    <x v="2"/>
    <x v="0"/>
    <x v="817"/>
    <x v="2"/>
  </r>
  <r>
    <x v="821"/>
    <x v="70"/>
    <x v="1"/>
    <d v="2024-02-25T00:00:00"/>
    <s v="Component"/>
    <x v="2"/>
    <x v="2"/>
    <x v="818"/>
    <x v="2"/>
  </r>
  <r>
    <x v="822"/>
    <x v="86"/>
    <x v="2"/>
    <d v="2024-01-29T00:00:00"/>
    <s v="Internal"/>
    <x v="0"/>
    <x v="1"/>
    <x v="819"/>
    <x v="5"/>
  </r>
  <r>
    <x v="823"/>
    <x v="10"/>
    <x v="0"/>
    <d v="2024-02-13T00:00:00"/>
    <s v="Component"/>
    <x v="0"/>
    <x v="1"/>
    <x v="820"/>
    <x v="2"/>
  </r>
  <r>
    <x v="824"/>
    <x v="97"/>
    <x v="1"/>
    <d v="2024-01-26T00:00:00"/>
    <s v="Component"/>
    <x v="2"/>
    <x v="1"/>
    <x v="821"/>
    <x v="5"/>
  </r>
  <r>
    <x v="825"/>
    <x v="59"/>
    <x v="2"/>
    <d v="2024-01-26T00:00:00"/>
    <s v="Component"/>
    <x v="0"/>
    <x v="2"/>
    <x v="822"/>
    <x v="5"/>
  </r>
  <r>
    <x v="826"/>
    <x v="71"/>
    <x v="2"/>
    <d v="2024-01-19T00:00:00"/>
    <s v="Component"/>
    <x v="0"/>
    <x v="2"/>
    <x v="823"/>
    <x v="5"/>
  </r>
  <r>
    <x v="827"/>
    <x v="26"/>
    <x v="1"/>
    <d v="2024-05-12T00:00:00"/>
    <s v="Surface"/>
    <x v="1"/>
    <x v="2"/>
    <x v="824"/>
    <x v="4"/>
  </r>
  <r>
    <x v="828"/>
    <x v="7"/>
    <x v="2"/>
    <d v="2024-02-12T00:00:00"/>
    <s v="Internal"/>
    <x v="1"/>
    <x v="1"/>
    <x v="825"/>
    <x v="2"/>
  </r>
  <r>
    <x v="829"/>
    <x v="41"/>
    <x v="2"/>
    <d v="2024-04-12T00:00:00"/>
    <s v="Surface"/>
    <x v="2"/>
    <x v="0"/>
    <x v="826"/>
    <x v="1"/>
  </r>
  <r>
    <x v="830"/>
    <x v="89"/>
    <x v="0"/>
    <d v="2024-04-24T00:00:00"/>
    <s v="Internal"/>
    <x v="1"/>
    <x v="2"/>
    <x v="827"/>
    <x v="1"/>
  </r>
  <r>
    <x v="831"/>
    <x v="90"/>
    <x v="2"/>
    <d v="2024-06-02T00:00:00"/>
    <s v="Surface"/>
    <x v="1"/>
    <x v="1"/>
    <x v="828"/>
    <x v="0"/>
  </r>
  <r>
    <x v="832"/>
    <x v="7"/>
    <x v="2"/>
    <d v="2024-02-15T00:00:00"/>
    <s v="Component"/>
    <x v="0"/>
    <x v="0"/>
    <x v="829"/>
    <x v="2"/>
  </r>
  <r>
    <x v="833"/>
    <x v="75"/>
    <x v="0"/>
    <d v="2024-04-09T00:00:00"/>
    <s v="Internal"/>
    <x v="2"/>
    <x v="1"/>
    <x v="830"/>
    <x v="1"/>
  </r>
  <r>
    <x v="834"/>
    <x v="53"/>
    <x v="1"/>
    <d v="2024-01-02T00:00:00"/>
    <s v="Surface"/>
    <x v="1"/>
    <x v="1"/>
    <x v="831"/>
    <x v="5"/>
  </r>
  <r>
    <x v="835"/>
    <x v="77"/>
    <x v="0"/>
    <d v="2024-05-08T00:00:00"/>
    <s v="Surface"/>
    <x v="1"/>
    <x v="1"/>
    <x v="832"/>
    <x v="4"/>
  </r>
  <r>
    <x v="836"/>
    <x v="8"/>
    <x v="1"/>
    <d v="2024-03-10T00:00:00"/>
    <s v="Surface"/>
    <x v="0"/>
    <x v="2"/>
    <x v="833"/>
    <x v="3"/>
  </r>
  <r>
    <x v="837"/>
    <x v="79"/>
    <x v="0"/>
    <d v="2024-06-14T00:00:00"/>
    <s v="Surface"/>
    <x v="1"/>
    <x v="1"/>
    <x v="834"/>
    <x v="0"/>
  </r>
  <r>
    <x v="838"/>
    <x v="97"/>
    <x v="2"/>
    <d v="2024-05-11T00:00:00"/>
    <s v="Surface"/>
    <x v="1"/>
    <x v="1"/>
    <x v="835"/>
    <x v="4"/>
  </r>
  <r>
    <x v="839"/>
    <x v="77"/>
    <x v="0"/>
    <d v="2024-02-16T00:00:00"/>
    <s v="Surface"/>
    <x v="2"/>
    <x v="1"/>
    <x v="836"/>
    <x v="2"/>
  </r>
  <r>
    <x v="840"/>
    <x v="33"/>
    <x v="0"/>
    <d v="2024-01-25T00:00:00"/>
    <s v="Component"/>
    <x v="0"/>
    <x v="2"/>
    <x v="837"/>
    <x v="5"/>
  </r>
  <r>
    <x v="841"/>
    <x v="96"/>
    <x v="1"/>
    <d v="2024-01-13T00:00:00"/>
    <s v="Surface"/>
    <x v="0"/>
    <x v="1"/>
    <x v="838"/>
    <x v="5"/>
  </r>
  <r>
    <x v="842"/>
    <x v="62"/>
    <x v="1"/>
    <d v="2024-04-30T00:00:00"/>
    <s v="Surface"/>
    <x v="2"/>
    <x v="0"/>
    <x v="839"/>
    <x v="1"/>
  </r>
  <r>
    <x v="843"/>
    <x v="64"/>
    <x v="0"/>
    <d v="2024-02-18T00:00:00"/>
    <s v="Component"/>
    <x v="1"/>
    <x v="1"/>
    <x v="840"/>
    <x v="2"/>
  </r>
  <r>
    <x v="844"/>
    <x v="98"/>
    <x v="2"/>
    <d v="2024-02-27T00:00:00"/>
    <s v="Component"/>
    <x v="2"/>
    <x v="1"/>
    <x v="841"/>
    <x v="2"/>
  </r>
  <r>
    <x v="845"/>
    <x v="28"/>
    <x v="0"/>
    <d v="2024-06-25T00:00:00"/>
    <s v="Internal"/>
    <x v="0"/>
    <x v="2"/>
    <x v="842"/>
    <x v="0"/>
  </r>
  <r>
    <x v="846"/>
    <x v="20"/>
    <x v="1"/>
    <d v="2024-06-22T00:00:00"/>
    <s v="Component"/>
    <x v="2"/>
    <x v="0"/>
    <x v="843"/>
    <x v="0"/>
  </r>
  <r>
    <x v="847"/>
    <x v="17"/>
    <x v="1"/>
    <d v="2024-05-01T00:00:00"/>
    <s v="Component"/>
    <x v="1"/>
    <x v="0"/>
    <x v="844"/>
    <x v="4"/>
  </r>
  <r>
    <x v="848"/>
    <x v="68"/>
    <x v="2"/>
    <d v="2024-06-01T00:00:00"/>
    <s v="Component"/>
    <x v="1"/>
    <x v="0"/>
    <x v="845"/>
    <x v="0"/>
  </r>
  <r>
    <x v="849"/>
    <x v="3"/>
    <x v="0"/>
    <d v="2024-06-24T00:00:00"/>
    <s v="Component"/>
    <x v="2"/>
    <x v="1"/>
    <x v="846"/>
    <x v="0"/>
  </r>
  <r>
    <x v="850"/>
    <x v="77"/>
    <x v="1"/>
    <d v="2024-03-20T00:00:00"/>
    <s v="Component"/>
    <x v="2"/>
    <x v="1"/>
    <x v="847"/>
    <x v="3"/>
  </r>
  <r>
    <x v="851"/>
    <x v="40"/>
    <x v="1"/>
    <d v="2024-03-02T00:00:00"/>
    <s v="Internal"/>
    <x v="2"/>
    <x v="0"/>
    <x v="848"/>
    <x v="3"/>
  </r>
  <r>
    <x v="852"/>
    <x v="31"/>
    <x v="0"/>
    <d v="2024-05-05T00:00:00"/>
    <s v="Surface"/>
    <x v="2"/>
    <x v="1"/>
    <x v="849"/>
    <x v="4"/>
  </r>
  <r>
    <x v="853"/>
    <x v="4"/>
    <x v="1"/>
    <d v="2024-06-30T00:00:00"/>
    <s v="Surface"/>
    <x v="0"/>
    <x v="0"/>
    <x v="850"/>
    <x v="0"/>
  </r>
  <r>
    <x v="854"/>
    <x v="49"/>
    <x v="2"/>
    <d v="2024-02-07T00:00:00"/>
    <s v="Component"/>
    <x v="1"/>
    <x v="0"/>
    <x v="851"/>
    <x v="2"/>
  </r>
  <r>
    <x v="855"/>
    <x v="9"/>
    <x v="0"/>
    <d v="2024-02-01T00:00:00"/>
    <s v="Surface"/>
    <x v="1"/>
    <x v="2"/>
    <x v="852"/>
    <x v="2"/>
  </r>
  <r>
    <x v="856"/>
    <x v="33"/>
    <x v="1"/>
    <d v="2024-04-10T00:00:00"/>
    <s v="Component"/>
    <x v="2"/>
    <x v="1"/>
    <x v="853"/>
    <x v="1"/>
  </r>
  <r>
    <x v="857"/>
    <x v="30"/>
    <x v="0"/>
    <d v="2024-05-12T00:00:00"/>
    <s v="Surface"/>
    <x v="0"/>
    <x v="0"/>
    <x v="854"/>
    <x v="4"/>
  </r>
  <r>
    <x v="858"/>
    <x v="26"/>
    <x v="2"/>
    <d v="2024-03-25T00:00:00"/>
    <s v="Internal"/>
    <x v="0"/>
    <x v="2"/>
    <x v="855"/>
    <x v="3"/>
  </r>
  <r>
    <x v="859"/>
    <x v="3"/>
    <x v="0"/>
    <d v="2024-06-24T00:00:00"/>
    <s v="Component"/>
    <x v="2"/>
    <x v="0"/>
    <x v="856"/>
    <x v="0"/>
  </r>
  <r>
    <x v="860"/>
    <x v="30"/>
    <x v="0"/>
    <d v="2024-01-11T00:00:00"/>
    <s v="Surface"/>
    <x v="1"/>
    <x v="1"/>
    <x v="857"/>
    <x v="5"/>
  </r>
  <r>
    <x v="861"/>
    <x v="16"/>
    <x v="0"/>
    <d v="2024-02-16T00:00:00"/>
    <s v="Component"/>
    <x v="1"/>
    <x v="0"/>
    <x v="858"/>
    <x v="2"/>
  </r>
  <r>
    <x v="862"/>
    <x v="92"/>
    <x v="1"/>
    <d v="2024-03-16T00:00:00"/>
    <s v="Surface"/>
    <x v="1"/>
    <x v="1"/>
    <x v="859"/>
    <x v="3"/>
  </r>
  <r>
    <x v="863"/>
    <x v="77"/>
    <x v="2"/>
    <d v="2024-01-03T00:00:00"/>
    <s v="Component"/>
    <x v="1"/>
    <x v="2"/>
    <x v="860"/>
    <x v="5"/>
  </r>
  <r>
    <x v="864"/>
    <x v="62"/>
    <x v="0"/>
    <d v="2024-06-14T00:00:00"/>
    <s v="Surface"/>
    <x v="1"/>
    <x v="0"/>
    <x v="861"/>
    <x v="0"/>
  </r>
  <r>
    <x v="865"/>
    <x v="66"/>
    <x v="2"/>
    <d v="2024-02-22T00:00:00"/>
    <s v="Surface"/>
    <x v="0"/>
    <x v="0"/>
    <x v="862"/>
    <x v="2"/>
  </r>
  <r>
    <x v="866"/>
    <x v="39"/>
    <x v="2"/>
    <d v="2024-03-16T00:00:00"/>
    <s v="Surface"/>
    <x v="0"/>
    <x v="1"/>
    <x v="863"/>
    <x v="3"/>
  </r>
  <r>
    <x v="867"/>
    <x v="83"/>
    <x v="2"/>
    <d v="2024-05-10T00:00:00"/>
    <s v="Surface"/>
    <x v="1"/>
    <x v="2"/>
    <x v="864"/>
    <x v="4"/>
  </r>
  <r>
    <x v="868"/>
    <x v="99"/>
    <x v="1"/>
    <d v="2024-06-08T00:00:00"/>
    <s v="Surface"/>
    <x v="1"/>
    <x v="2"/>
    <x v="865"/>
    <x v="0"/>
  </r>
  <r>
    <x v="869"/>
    <x v="22"/>
    <x v="0"/>
    <d v="2024-05-04T00:00:00"/>
    <s v="Internal"/>
    <x v="1"/>
    <x v="0"/>
    <x v="866"/>
    <x v="4"/>
  </r>
  <r>
    <x v="870"/>
    <x v="82"/>
    <x v="0"/>
    <d v="2024-06-13T00:00:00"/>
    <s v="Surface"/>
    <x v="1"/>
    <x v="2"/>
    <x v="867"/>
    <x v="0"/>
  </r>
  <r>
    <x v="871"/>
    <x v="61"/>
    <x v="1"/>
    <d v="2024-05-20T00:00:00"/>
    <s v="Internal"/>
    <x v="0"/>
    <x v="1"/>
    <x v="868"/>
    <x v="4"/>
  </r>
  <r>
    <x v="872"/>
    <x v="44"/>
    <x v="1"/>
    <d v="2024-01-05T00:00:00"/>
    <s v="Surface"/>
    <x v="1"/>
    <x v="0"/>
    <x v="869"/>
    <x v="5"/>
  </r>
  <r>
    <x v="873"/>
    <x v="61"/>
    <x v="2"/>
    <d v="2024-04-19T00:00:00"/>
    <s v="Surface"/>
    <x v="1"/>
    <x v="0"/>
    <x v="870"/>
    <x v="1"/>
  </r>
  <r>
    <x v="874"/>
    <x v="18"/>
    <x v="0"/>
    <d v="2024-04-18T00:00:00"/>
    <s v="Component"/>
    <x v="2"/>
    <x v="2"/>
    <x v="871"/>
    <x v="1"/>
  </r>
  <r>
    <x v="875"/>
    <x v="49"/>
    <x v="2"/>
    <d v="2024-03-31T00:00:00"/>
    <s v="Surface"/>
    <x v="1"/>
    <x v="2"/>
    <x v="872"/>
    <x v="3"/>
  </r>
  <r>
    <x v="876"/>
    <x v="19"/>
    <x v="0"/>
    <d v="2024-02-04T00:00:00"/>
    <s v="Component"/>
    <x v="0"/>
    <x v="1"/>
    <x v="873"/>
    <x v="2"/>
  </r>
  <r>
    <x v="877"/>
    <x v="21"/>
    <x v="1"/>
    <d v="2024-05-20T00:00:00"/>
    <s v="Internal"/>
    <x v="1"/>
    <x v="1"/>
    <x v="874"/>
    <x v="4"/>
  </r>
  <r>
    <x v="878"/>
    <x v="90"/>
    <x v="0"/>
    <d v="2024-03-11T00:00:00"/>
    <s v="Internal"/>
    <x v="2"/>
    <x v="2"/>
    <x v="875"/>
    <x v="3"/>
  </r>
  <r>
    <x v="879"/>
    <x v="73"/>
    <x v="2"/>
    <d v="2024-04-19T00:00:00"/>
    <s v="Surface"/>
    <x v="0"/>
    <x v="0"/>
    <x v="876"/>
    <x v="1"/>
  </r>
  <r>
    <x v="880"/>
    <x v="97"/>
    <x v="1"/>
    <d v="2024-01-21T00:00:00"/>
    <s v="Internal"/>
    <x v="0"/>
    <x v="1"/>
    <x v="877"/>
    <x v="5"/>
  </r>
  <r>
    <x v="881"/>
    <x v="22"/>
    <x v="1"/>
    <d v="2024-05-21T00:00:00"/>
    <s v="Component"/>
    <x v="2"/>
    <x v="1"/>
    <x v="878"/>
    <x v="4"/>
  </r>
  <r>
    <x v="882"/>
    <x v="52"/>
    <x v="1"/>
    <d v="2024-06-06T00:00:00"/>
    <s v="Component"/>
    <x v="0"/>
    <x v="0"/>
    <x v="879"/>
    <x v="0"/>
  </r>
  <r>
    <x v="883"/>
    <x v="75"/>
    <x v="2"/>
    <d v="2024-04-01T00:00:00"/>
    <s v="Internal"/>
    <x v="0"/>
    <x v="2"/>
    <x v="880"/>
    <x v="1"/>
  </r>
  <r>
    <x v="884"/>
    <x v="17"/>
    <x v="2"/>
    <d v="2024-06-07T00:00:00"/>
    <s v="Surface"/>
    <x v="1"/>
    <x v="0"/>
    <x v="881"/>
    <x v="0"/>
  </r>
  <r>
    <x v="885"/>
    <x v="75"/>
    <x v="0"/>
    <d v="2024-04-29T00:00:00"/>
    <s v="Surface"/>
    <x v="0"/>
    <x v="0"/>
    <x v="882"/>
    <x v="1"/>
  </r>
  <r>
    <x v="886"/>
    <x v="77"/>
    <x v="0"/>
    <d v="2024-05-29T00:00:00"/>
    <s v="Component"/>
    <x v="2"/>
    <x v="2"/>
    <x v="883"/>
    <x v="4"/>
  </r>
  <r>
    <x v="887"/>
    <x v="5"/>
    <x v="2"/>
    <d v="2024-04-16T00:00:00"/>
    <s v="Component"/>
    <x v="1"/>
    <x v="1"/>
    <x v="884"/>
    <x v="1"/>
  </r>
  <r>
    <x v="888"/>
    <x v="46"/>
    <x v="1"/>
    <d v="2024-05-05T00:00:00"/>
    <s v="Component"/>
    <x v="2"/>
    <x v="1"/>
    <x v="885"/>
    <x v="4"/>
  </r>
  <r>
    <x v="889"/>
    <x v="33"/>
    <x v="0"/>
    <d v="2024-06-05T00:00:00"/>
    <s v="Internal"/>
    <x v="0"/>
    <x v="1"/>
    <x v="886"/>
    <x v="0"/>
  </r>
  <r>
    <x v="890"/>
    <x v="7"/>
    <x v="1"/>
    <d v="2024-06-17T00:00:00"/>
    <s v="Internal"/>
    <x v="0"/>
    <x v="2"/>
    <x v="887"/>
    <x v="0"/>
  </r>
  <r>
    <x v="891"/>
    <x v="75"/>
    <x v="0"/>
    <d v="2024-05-12T00:00:00"/>
    <s v="Internal"/>
    <x v="1"/>
    <x v="1"/>
    <x v="888"/>
    <x v="4"/>
  </r>
  <r>
    <x v="892"/>
    <x v="35"/>
    <x v="0"/>
    <d v="2024-04-07T00:00:00"/>
    <s v="Surface"/>
    <x v="0"/>
    <x v="2"/>
    <x v="889"/>
    <x v="1"/>
  </r>
  <r>
    <x v="893"/>
    <x v="43"/>
    <x v="0"/>
    <d v="2024-05-19T00:00:00"/>
    <s v="Surface"/>
    <x v="0"/>
    <x v="2"/>
    <x v="890"/>
    <x v="4"/>
  </r>
  <r>
    <x v="894"/>
    <x v="35"/>
    <x v="0"/>
    <d v="2024-01-09T00:00:00"/>
    <s v="Internal"/>
    <x v="0"/>
    <x v="0"/>
    <x v="891"/>
    <x v="5"/>
  </r>
  <r>
    <x v="895"/>
    <x v="35"/>
    <x v="0"/>
    <d v="2024-03-29T00:00:00"/>
    <s v="Internal"/>
    <x v="0"/>
    <x v="2"/>
    <x v="892"/>
    <x v="3"/>
  </r>
  <r>
    <x v="896"/>
    <x v="58"/>
    <x v="1"/>
    <d v="2024-05-15T00:00:00"/>
    <s v="Internal"/>
    <x v="0"/>
    <x v="2"/>
    <x v="893"/>
    <x v="4"/>
  </r>
  <r>
    <x v="897"/>
    <x v="27"/>
    <x v="0"/>
    <d v="2024-05-16T00:00:00"/>
    <s v="Surface"/>
    <x v="2"/>
    <x v="2"/>
    <x v="894"/>
    <x v="4"/>
  </r>
  <r>
    <x v="898"/>
    <x v="38"/>
    <x v="2"/>
    <d v="2024-03-16T00:00:00"/>
    <s v="Component"/>
    <x v="1"/>
    <x v="2"/>
    <x v="895"/>
    <x v="3"/>
  </r>
  <r>
    <x v="899"/>
    <x v="2"/>
    <x v="1"/>
    <d v="2024-02-16T00:00:00"/>
    <s v="Surface"/>
    <x v="1"/>
    <x v="2"/>
    <x v="896"/>
    <x v="2"/>
  </r>
  <r>
    <x v="900"/>
    <x v="60"/>
    <x v="2"/>
    <d v="2024-03-20T00:00:00"/>
    <s v="Internal"/>
    <x v="1"/>
    <x v="2"/>
    <x v="897"/>
    <x v="3"/>
  </r>
  <r>
    <x v="901"/>
    <x v="23"/>
    <x v="0"/>
    <d v="2024-03-12T00:00:00"/>
    <s v="Component"/>
    <x v="0"/>
    <x v="2"/>
    <x v="898"/>
    <x v="3"/>
  </r>
  <r>
    <x v="902"/>
    <x v="86"/>
    <x v="1"/>
    <d v="2024-05-24T00:00:00"/>
    <s v="Surface"/>
    <x v="0"/>
    <x v="1"/>
    <x v="899"/>
    <x v="4"/>
  </r>
  <r>
    <x v="903"/>
    <x v="75"/>
    <x v="2"/>
    <d v="2024-04-08T00:00:00"/>
    <s v="Surface"/>
    <x v="2"/>
    <x v="0"/>
    <x v="900"/>
    <x v="1"/>
  </r>
  <r>
    <x v="904"/>
    <x v="68"/>
    <x v="1"/>
    <d v="2024-02-07T00:00:00"/>
    <s v="Surface"/>
    <x v="0"/>
    <x v="2"/>
    <x v="901"/>
    <x v="2"/>
  </r>
  <r>
    <x v="905"/>
    <x v="1"/>
    <x v="0"/>
    <d v="2024-01-25T00:00:00"/>
    <s v="Surface"/>
    <x v="1"/>
    <x v="0"/>
    <x v="902"/>
    <x v="5"/>
  </r>
  <r>
    <x v="906"/>
    <x v="75"/>
    <x v="0"/>
    <d v="2024-02-16T00:00:00"/>
    <s v="Component"/>
    <x v="0"/>
    <x v="0"/>
    <x v="903"/>
    <x v="2"/>
  </r>
  <r>
    <x v="907"/>
    <x v="49"/>
    <x v="1"/>
    <d v="2024-04-24T00:00:00"/>
    <s v="Component"/>
    <x v="2"/>
    <x v="2"/>
    <x v="904"/>
    <x v="1"/>
  </r>
  <r>
    <x v="908"/>
    <x v="1"/>
    <x v="1"/>
    <d v="2024-03-08T00:00:00"/>
    <s v="Component"/>
    <x v="1"/>
    <x v="0"/>
    <x v="905"/>
    <x v="3"/>
  </r>
  <r>
    <x v="909"/>
    <x v="45"/>
    <x v="1"/>
    <d v="2024-02-29T00:00:00"/>
    <s v="Surface"/>
    <x v="2"/>
    <x v="2"/>
    <x v="906"/>
    <x v="2"/>
  </r>
  <r>
    <x v="910"/>
    <x v="81"/>
    <x v="1"/>
    <d v="2024-06-07T00:00:00"/>
    <s v="Component"/>
    <x v="0"/>
    <x v="0"/>
    <x v="907"/>
    <x v="0"/>
  </r>
  <r>
    <x v="911"/>
    <x v="92"/>
    <x v="1"/>
    <d v="2024-04-28T00:00:00"/>
    <s v="Component"/>
    <x v="2"/>
    <x v="0"/>
    <x v="908"/>
    <x v="1"/>
  </r>
  <r>
    <x v="912"/>
    <x v="72"/>
    <x v="1"/>
    <d v="2024-06-26T00:00:00"/>
    <s v="Surface"/>
    <x v="2"/>
    <x v="1"/>
    <x v="909"/>
    <x v="0"/>
  </r>
  <r>
    <x v="913"/>
    <x v="85"/>
    <x v="1"/>
    <d v="2024-06-15T00:00:00"/>
    <s v="Internal"/>
    <x v="1"/>
    <x v="1"/>
    <x v="910"/>
    <x v="0"/>
  </r>
  <r>
    <x v="914"/>
    <x v="65"/>
    <x v="2"/>
    <d v="2024-03-05T00:00:00"/>
    <s v="Surface"/>
    <x v="2"/>
    <x v="0"/>
    <x v="911"/>
    <x v="3"/>
  </r>
  <r>
    <x v="915"/>
    <x v="40"/>
    <x v="0"/>
    <d v="2024-02-21T00:00:00"/>
    <s v="Surface"/>
    <x v="2"/>
    <x v="0"/>
    <x v="912"/>
    <x v="2"/>
  </r>
  <r>
    <x v="916"/>
    <x v="65"/>
    <x v="2"/>
    <d v="2024-01-04T00:00:00"/>
    <s v="Component"/>
    <x v="1"/>
    <x v="1"/>
    <x v="913"/>
    <x v="5"/>
  </r>
  <r>
    <x v="917"/>
    <x v="34"/>
    <x v="1"/>
    <d v="2024-06-01T00:00:00"/>
    <s v="Component"/>
    <x v="2"/>
    <x v="0"/>
    <x v="914"/>
    <x v="0"/>
  </r>
  <r>
    <x v="918"/>
    <x v="52"/>
    <x v="2"/>
    <d v="2024-03-01T00:00:00"/>
    <s v="Internal"/>
    <x v="0"/>
    <x v="0"/>
    <x v="915"/>
    <x v="3"/>
  </r>
  <r>
    <x v="919"/>
    <x v="87"/>
    <x v="1"/>
    <d v="2024-01-03T00:00:00"/>
    <s v="Surface"/>
    <x v="2"/>
    <x v="0"/>
    <x v="916"/>
    <x v="5"/>
  </r>
  <r>
    <x v="920"/>
    <x v="73"/>
    <x v="2"/>
    <d v="2024-03-09T00:00:00"/>
    <s v="Internal"/>
    <x v="2"/>
    <x v="1"/>
    <x v="917"/>
    <x v="3"/>
  </r>
  <r>
    <x v="921"/>
    <x v="7"/>
    <x v="2"/>
    <d v="2024-03-17T00:00:00"/>
    <s v="Component"/>
    <x v="0"/>
    <x v="0"/>
    <x v="918"/>
    <x v="3"/>
  </r>
  <r>
    <x v="922"/>
    <x v="36"/>
    <x v="0"/>
    <d v="2024-03-29T00:00:00"/>
    <s v="Surface"/>
    <x v="0"/>
    <x v="0"/>
    <x v="524"/>
    <x v="3"/>
  </r>
  <r>
    <x v="923"/>
    <x v="47"/>
    <x v="2"/>
    <d v="2024-06-16T00:00:00"/>
    <s v="Component"/>
    <x v="0"/>
    <x v="2"/>
    <x v="919"/>
    <x v="0"/>
  </r>
  <r>
    <x v="924"/>
    <x v="50"/>
    <x v="1"/>
    <d v="2024-05-03T00:00:00"/>
    <s v="Internal"/>
    <x v="0"/>
    <x v="1"/>
    <x v="920"/>
    <x v="4"/>
  </r>
  <r>
    <x v="925"/>
    <x v="94"/>
    <x v="1"/>
    <d v="2024-01-12T00:00:00"/>
    <s v="Internal"/>
    <x v="2"/>
    <x v="1"/>
    <x v="921"/>
    <x v="5"/>
  </r>
  <r>
    <x v="926"/>
    <x v="63"/>
    <x v="2"/>
    <d v="2024-03-19T00:00:00"/>
    <s v="Surface"/>
    <x v="2"/>
    <x v="0"/>
    <x v="922"/>
    <x v="3"/>
  </r>
  <r>
    <x v="927"/>
    <x v="67"/>
    <x v="0"/>
    <d v="2024-04-27T00:00:00"/>
    <s v="Internal"/>
    <x v="2"/>
    <x v="2"/>
    <x v="923"/>
    <x v="1"/>
  </r>
  <r>
    <x v="928"/>
    <x v="44"/>
    <x v="1"/>
    <d v="2024-04-27T00:00:00"/>
    <s v="Surface"/>
    <x v="1"/>
    <x v="0"/>
    <x v="924"/>
    <x v="1"/>
  </r>
  <r>
    <x v="929"/>
    <x v="46"/>
    <x v="1"/>
    <d v="2024-05-14T00:00:00"/>
    <s v="Component"/>
    <x v="1"/>
    <x v="1"/>
    <x v="925"/>
    <x v="4"/>
  </r>
  <r>
    <x v="930"/>
    <x v="18"/>
    <x v="0"/>
    <d v="2024-02-04T00:00:00"/>
    <s v="Internal"/>
    <x v="1"/>
    <x v="1"/>
    <x v="926"/>
    <x v="2"/>
  </r>
  <r>
    <x v="931"/>
    <x v="67"/>
    <x v="1"/>
    <d v="2024-05-14T00:00:00"/>
    <s v="Internal"/>
    <x v="2"/>
    <x v="0"/>
    <x v="927"/>
    <x v="4"/>
  </r>
  <r>
    <x v="932"/>
    <x v="0"/>
    <x v="2"/>
    <d v="2024-05-16T00:00:00"/>
    <s v="Internal"/>
    <x v="0"/>
    <x v="0"/>
    <x v="928"/>
    <x v="4"/>
  </r>
  <r>
    <x v="933"/>
    <x v="41"/>
    <x v="2"/>
    <d v="2024-05-06T00:00:00"/>
    <s v="Surface"/>
    <x v="0"/>
    <x v="2"/>
    <x v="929"/>
    <x v="4"/>
  </r>
  <r>
    <x v="934"/>
    <x v="92"/>
    <x v="0"/>
    <d v="2024-01-19T00:00:00"/>
    <s v="Surface"/>
    <x v="1"/>
    <x v="1"/>
    <x v="930"/>
    <x v="5"/>
  </r>
  <r>
    <x v="935"/>
    <x v="40"/>
    <x v="2"/>
    <d v="2024-02-03T00:00:00"/>
    <s v="Component"/>
    <x v="2"/>
    <x v="1"/>
    <x v="931"/>
    <x v="2"/>
  </r>
  <r>
    <x v="936"/>
    <x v="91"/>
    <x v="0"/>
    <d v="2024-04-18T00:00:00"/>
    <s v="Internal"/>
    <x v="1"/>
    <x v="2"/>
    <x v="932"/>
    <x v="1"/>
  </r>
  <r>
    <x v="937"/>
    <x v="83"/>
    <x v="0"/>
    <d v="2024-04-08T00:00:00"/>
    <s v="Surface"/>
    <x v="0"/>
    <x v="2"/>
    <x v="933"/>
    <x v="1"/>
  </r>
  <r>
    <x v="938"/>
    <x v="32"/>
    <x v="2"/>
    <d v="2024-02-16T00:00:00"/>
    <s v="Internal"/>
    <x v="2"/>
    <x v="0"/>
    <x v="934"/>
    <x v="2"/>
  </r>
  <r>
    <x v="939"/>
    <x v="42"/>
    <x v="1"/>
    <d v="2024-04-01T00:00:00"/>
    <s v="Internal"/>
    <x v="0"/>
    <x v="2"/>
    <x v="935"/>
    <x v="1"/>
  </r>
  <r>
    <x v="940"/>
    <x v="92"/>
    <x v="0"/>
    <d v="2024-01-27T00:00:00"/>
    <s v="Component"/>
    <x v="0"/>
    <x v="0"/>
    <x v="936"/>
    <x v="5"/>
  </r>
  <r>
    <x v="941"/>
    <x v="92"/>
    <x v="0"/>
    <d v="2024-05-29T00:00:00"/>
    <s v="Surface"/>
    <x v="1"/>
    <x v="0"/>
    <x v="937"/>
    <x v="4"/>
  </r>
  <r>
    <x v="942"/>
    <x v="37"/>
    <x v="2"/>
    <d v="2024-04-17T00:00:00"/>
    <s v="Internal"/>
    <x v="2"/>
    <x v="2"/>
    <x v="938"/>
    <x v="1"/>
  </r>
  <r>
    <x v="943"/>
    <x v="13"/>
    <x v="1"/>
    <d v="2024-03-11T00:00:00"/>
    <s v="Surface"/>
    <x v="0"/>
    <x v="2"/>
    <x v="939"/>
    <x v="3"/>
  </r>
  <r>
    <x v="944"/>
    <x v="3"/>
    <x v="2"/>
    <d v="2024-05-24T00:00:00"/>
    <s v="Surface"/>
    <x v="0"/>
    <x v="0"/>
    <x v="940"/>
    <x v="4"/>
  </r>
  <r>
    <x v="945"/>
    <x v="12"/>
    <x v="2"/>
    <d v="2024-03-03T00:00:00"/>
    <s v="Internal"/>
    <x v="0"/>
    <x v="2"/>
    <x v="941"/>
    <x v="3"/>
  </r>
  <r>
    <x v="946"/>
    <x v="1"/>
    <x v="2"/>
    <d v="2024-03-03T00:00:00"/>
    <s v="Internal"/>
    <x v="2"/>
    <x v="0"/>
    <x v="942"/>
    <x v="3"/>
  </r>
  <r>
    <x v="947"/>
    <x v="55"/>
    <x v="0"/>
    <d v="2024-02-16T00:00:00"/>
    <s v="Component"/>
    <x v="2"/>
    <x v="1"/>
    <x v="943"/>
    <x v="2"/>
  </r>
  <r>
    <x v="948"/>
    <x v="23"/>
    <x v="0"/>
    <d v="2024-04-11T00:00:00"/>
    <s v="Surface"/>
    <x v="1"/>
    <x v="1"/>
    <x v="944"/>
    <x v="1"/>
  </r>
  <r>
    <x v="949"/>
    <x v="84"/>
    <x v="0"/>
    <d v="2024-02-23T00:00:00"/>
    <s v="Surface"/>
    <x v="1"/>
    <x v="1"/>
    <x v="945"/>
    <x v="2"/>
  </r>
  <r>
    <x v="950"/>
    <x v="47"/>
    <x v="1"/>
    <d v="2024-06-08T00:00:00"/>
    <s v="Internal"/>
    <x v="2"/>
    <x v="0"/>
    <x v="946"/>
    <x v="0"/>
  </r>
  <r>
    <x v="951"/>
    <x v="84"/>
    <x v="0"/>
    <d v="2024-02-26T00:00:00"/>
    <s v="Surface"/>
    <x v="1"/>
    <x v="0"/>
    <x v="947"/>
    <x v="2"/>
  </r>
  <r>
    <x v="952"/>
    <x v="18"/>
    <x v="1"/>
    <d v="2024-03-27T00:00:00"/>
    <s v="Surface"/>
    <x v="0"/>
    <x v="2"/>
    <x v="948"/>
    <x v="3"/>
  </r>
  <r>
    <x v="953"/>
    <x v="92"/>
    <x v="0"/>
    <d v="2024-06-17T00:00:00"/>
    <s v="Surface"/>
    <x v="2"/>
    <x v="0"/>
    <x v="949"/>
    <x v="0"/>
  </r>
  <r>
    <x v="954"/>
    <x v="6"/>
    <x v="1"/>
    <d v="2024-02-28T00:00:00"/>
    <s v="Internal"/>
    <x v="0"/>
    <x v="2"/>
    <x v="950"/>
    <x v="2"/>
  </r>
  <r>
    <x v="955"/>
    <x v="45"/>
    <x v="1"/>
    <d v="2024-03-01T00:00:00"/>
    <s v="Surface"/>
    <x v="1"/>
    <x v="2"/>
    <x v="951"/>
    <x v="3"/>
  </r>
  <r>
    <x v="956"/>
    <x v="21"/>
    <x v="0"/>
    <d v="2024-05-27T00:00:00"/>
    <s v="Internal"/>
    <x v="0"/>
    <x v="1"/>
    <x v="952"/>
    <x v="4"/>
  </r>
  <r>
    <x v="957"/>
    <x v="26"/>
    <x v="0"/>
    <d v="2024-04-03T00:00:00"/>
    <s v="Component"/>
    <x v="1"/>
    <x v="0"/>
    <x v="953"/>
    <x v="1"/>
  </r>
  <r>
    <x v="958"/>
    <x v="15"/>
    <x v="2"/>
    <d v="2024-04-27T00:00:00"/>
    <s v="Component"/>
    <x v="1"/>
    <x v="1"/>
    <x v="954"/>
    <x v="1"/>
  </r>
  <r>
    <x v="959"/>
    <x v="82"/>
    <x v="2"/>
    <d v="2024-03-19T00:00:00"/>
    <s v="Internal"/>
    <x v="1"/>
    <x v="1"/>
    <x v="955"/>
    <x v="3"/>
  </r>
  <r>
    <x v="960"/>
    <x v="25"/>
    <x v="0"/>
    <d v="2024-03-29T00:00:00"/>
    <s v="Component"/>
    <x v="2"/>
    <x v="0"/>
    <x v="956"/>
    <x v="3"/>
  </r>
  <r>
    <x v="961"/>
    <x v="80"/>
    <x v="2"/>
    <d v="2024-01-30T00:00:00"/>
    <s v="Component"/>
    <x v="1"/>
    <x v="2"/>
    <x v="957"/>
    <x v="5"/>
  </r>
  <r>
    <x v="962"/>
    <x v="30"/>
    <x v="2"/>
    <d v="2024-05-26T00:00:00"/>
    <s v="Component"/>
    <x v="0"/>
    <x v="1"/>
    <x v="958"/>
    <x v="4"/>
  </r>
  <r>
    <x v="963"/>
    <x v="10"/>
    <x v="1"/>
    <d v="2024-02-13T00:00:00"/>
    <s v="Component"/>
    <x v="1"/>
    <x v="2"/>
    <x v="959"/>
    <x v="2"/>
  </r>
  <r>
    <x v="964"/>
    <x v="10"/>
    <x v="1"/>
    <d v="2024-06-22T00:00:00"/>
    <s v="Internal"/>
    <x v="1"/>
    <x v="0"/>
    <x v="960"/>
    <x v="0"/>
  </r>
  <r>
    <x v="965"/>
    <x v="88"/>
    <x v="1"/>
    <d v="2024-03-29T00:00:00"/>
    <s v="Internal"/>
    <x v="2"/>
    <x v="0"/>
    <x v="961"/>
    <x v="3"/>
  </r>
  <r>
    <x v="966"/>
    <x v="18"/>
    <x v="1"/>
    <d v="2024-03-13T00:00:00"/>
    <s v="Internal"/>
    <x v="2"/>
    <x v="2"/>
    <x v="962"/>
    <x v="3"/>
  </r>
  <r>
    <x v="967"/>
    <x v="32"/>
    <x v="0"/>
    <d v="2024-03-03T00:00:00"/>
    <s v="Internal"/>
    <x v="2"/>
    <x v="0"/>
    <x v="963"/>
    <x v="3"/>
  </r>
  <r>
    <x v="968"/>
    <x v="1"/>
    <x v="0"/>
    <d v="2024-03-15T00:00:00"/>
    <s v="Surface"/>
    <x v="0"/>
    <x v="2"/>
    <x v="964"/>
    <x v="3"/>
  </r>
  <r>
    <x v="969"/>
    <x v="20"/>
    <x v="0"/>
    <d v="2024-01-28T00:00:00"/>
    <s v="Internal"/>
    <x v="0"/>
    <x v="0"/>
    <x v="965"/>
    <x v="5"/>
  </r>
  <r>
    <x v="970"/>
    <x v="98"/>
    <x v="2"/>
    <d v="2024-04-07T00:00:00"/>
    <s v="Component"/>
    <x v="0"/>
    <x v="1"/>
    <x v="966"/>
    <x v="1"/>
  </r>
  <r>
    <x v="971"/>
    <x v="62"/>
    <x v="2"/>
    <d v="2024-01-04T00:00:00"/>
    <s v="Surface"/>
    <x v="1"/>
    <x v="2"/>
    <x v="967"/>
    <x v="5"/>
  </r>
  <r>
    <x v="972"/>
    <x v="4"/>
    <x v="0"/>
    <d v="2024-06-14T00:00:00"/>
    <s v="Surface"/>
    <x v="1"/>
    <x v="1"/>
    <x v="968"/>
    <x v="0"/>
  </r>
  <r>
    <x v="973"/>
    <x v="22"/>
    <x v="2"/>
    <d v="2024-01-21T00:00:00"/>
    <s v="Internal"/>
    <x v="1"/>
    <x v="2"/>
    <x v="969"/>
    <x v="5"/>
  </r>
  <r>
    <x v="974"/>
    <x v="25"/>
    <x v="1"/>
    <d v="2024-01-01T00:00:00"/>
    <s v="Component"/>
    <x v="2"/>
    <x v="1"/>
    <x v="970"/>
    <x v="5"/>
  </r>
  <r>
    <x v="975"/>
    <x v="37"/>
    <x v="2"/>
    <d v="2024-05-18T00:00:00"/>
    <s v="Component"/>
    <x v="2"/>
    <x v="0"/>
    <x v="971"/>
    <x v="4"/>
  </r>
  <r>
    <x v="976"/>
    <x v="71"/>
    <x v="0"/>
    <d v="2024-06-08T00:00:00"/>
    <s v="Internal"/>
    <x v="1"/>
    <x v="1"/>
    <x v="972"/>
    <x v="0"/>
  </r>
  <r>
    <x v="977"/>
    <x v="89"/>
    <x v="1"/>
    <d v="2024-01-29T00:00:00"/>
    <s v="Component"/>
    <x v="2"/>
    <x v="1"/>
    <x v="973"/>
    <x v="5"/>
  </r>
  <r>
    <x v="978"/>
    <x v="61"/>
    <x v="1"/>
    <d v="2024-01-11T00:00:00"/>
    <s v="Internal"/>
    <x v="1"/>
    <x v="2"/>
    <x v="974"/>
    <x v="5"/>
  </r>
  <r>
    <x v="979"/>
    <x v="22"/>
    <x v="1"/>
    <d v="2024-02-29T00:00:00"/>
    <s v="Internal"/>
    <x v="2"/>
    <x v="0"/>
    <x v="975"/>
    <x v="2"/>
  </r>
  <r>
    <x v="980"/>
    <x v="54"/>
    <x v="2"/>
    <d v="2024-01-16T00:00:00"/>
    <s v="Internal"/>
    <x v="0"/>
    <x v="2"/>
    <x v="976"/>
    <x v="5"/>
  </r>
  <r>
    <x v="981"/>
    <x v="39"/>
    <x v="2"/>
    <d v="2024-03-15T00:00:00"/>
    <s v="Component"/>
    <x v="2"/>
    <x v="0"/>
    <x v="977"/>
    <x v="3"/>
  </r>
  <r>
    <x v="982"/>
    <x v="79"/>
    <x v="1"/>
    <d v="2024-05-16T00:00:00"/>
    <s v="Surface"/>
    <x v="2"/>
    <x v="1"/>
    <x v="978"/>
    <x v="4"/>
  </r>
  <r>
    <x v="983"/>
    <x v="45"/>
    <x v="1"/>
    <d v="2024-06-22T00:00:00"/>
    <s v="Internal"/>
    <x v="1"/>
    <x v="2"/>
    <x v="979"/>
    <x v="0"/>
  </r>
  <r>
    <x v="984"/>
    <x v="66"/>
    <x v="1"/>
    <d v="2024-02-02T00:00:00"/>
    <s v="Internal"/>
    <x v="1"/>
    <x v="1"/>
    <x v="980"/>
    <x v="2"/>
  </r>
  <r>
    <x v="985"/>
    <x v="87"/>
    <x v="0"/>
    <d v="2024-02-08T00:00:00"/>
    <s v="Internal"/>
    <x v="2"/>
    <x v="1"/>
    <x v="981"/>
    <x v="2"/>
  </r>
  <r>
    <x v="986"/>
    <x v="97"/>
    <x v="2"/>
    <d v="2024-05-22T00:00:00"/>
    <s v="Internal"/>
    <x v="0"/>
    <x v="0"/>
    <x v="982"/>
    <x v="4"/>
  </r>
  <r>
    <x v="987"/>
    <x v="98"/>
    <x v="2"/>
    <d v="2024-02-05T00:00:00"/>
    <s v="Surface"/>
    <x v="2"/>
    <x v="1"/>
    <x v="983"/>
    <x v="2"/>
  </r>
  <r>
    <x v="988"/>
    <x v="50"/>
    <x v="2"/>
    <d v="2024-01-01T00:00:00"/>
    <s v="Component"/>
    <x v="1"/>
    <x v="0"/>
    <x v="984"/>
    <x v="5"/>
  </r>
  <r>
    <x v="989"/>
    <x v="10"/>
    <x v="2"/>
    <d v="2024-06-11T00:00:00"/>
    <s v="Component"/>
    <x v="1"/>
    <x v="2"/>
    <x v="985"/>
    <x v="0"/>
  </r>
  <r>
    <x v="990"/>
    <x v="3"/>
    <x v="2"/>
    <d v="2024-06-08T00:00:00"/>
    <s v="Internal"/>
    <x v="0"/>
    <x v="0"/>
    <x v="986"/>
    <x v="0"/>
  </r>
  <r>
    <x v="991"/>
    <x v="40"/>
    <x v="2"/>
    <d v="2024-01-25T00:00:00"/>
    <s v="Internal"/>
    <x v="1"/>
    <x v="0"/>
    <x v="987"/>
    <x v="5"/>
  </r>
  <r>
    <x v="992"/>
    <x v="64"/>
    <x v="1"/>
    <d v="2024-03-14T00:00:00"/>
    <s v="Internal"/>
    <x v="1"/>
    <x v="2"/>
    <x v="988"/>
    <x v="3"/>
  </r>
  <r>
    <x v="993"/>
    <x v="72"/>
    <x v="2"/>
    <d v="2024-02-11T00:00:00"/>
    <s v="Component"/>
    <x v="0"/>
    <x v="0"/>
    <x v="989"/>
    <x v="2"/>
  </r>
  <r>
    <x v="994"/>
    <x v="70"/>
    <x v="2"/>
    <d v="2024-01-28T00:00:00"/>
    <s v="Internal"/>
    <x v="2"/>
    <x v="1"/>
    <x v="990"/>
    <x v="5"/>
  </r>
  <r>
    <x v="995"/>
    <x v="26"/>
    <x v="0"/>
    <d v="2024-03-01T00:00:00"/>
    <s v="Component"/>
    <x v="0"/>
    <x v="1"/>
    <x v="991"/>
    <x v="3"/>
  </r>
  <r>
    <x v="996"/>
    <x v="84"/>
    <x v="1"/>
    <d v="2024-03-21T00:00:00"/>
    <s v="Component"/>
    <x v="2"/>
    <x v="1"/>
    <x v="992"/>
    <x v="3"/>
  </r>
  <r>
    <x v="997"/>
    <x v="5"/>
    <x v="0"/>
    <d v="2024-01-16T00:00:00"/>
    <s v="Component"/>
    <x v="0"/>
    <x v="1"/>
    <x v="993"/>
    <x v="5"/>
  </r>
  <r>
    <x v="998"/>
    <x v="71"/>
    <x v="2"/>
    <d v="2024-06-21T00:00:00"/>
    <s v="Internal"/>
    <x v="2"/>
    <x v="2"/>
    <x v="994"/>
    <x v="0"/>
  </r>
  <r>
    <x v="999"/>
    <x v="61"/>
    <x v="2"/>
    <d v="2024-03-23T00:00:00"/>
    <s v="Component"/>
    <x v="0"/>
    <x v="0"/>
    <x v="99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1FB7E-78F5-4571-AC3B-E22E08FBDF57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id ">
  <location ref="A130:B232" firstHeaderRow="1" firstDataRow="1" firstDataCol="1"/>
  <pivotFields count="8">
    <pivotField showAll="0"/>
    <pivotField axis="axisRow" showAll="0" sortType="descending">
      <items count="102">
        <item x="61"/>
        <item x="47"/>
        <item x="25"/>
        <item x="75"/>
        <item x="44"/>
        <item x="1"/>
        <item x="40"/>
        <item x="59"/>
        <item x="39"/>
        <item x="3"/>
        <item x="50"/>
        <item x="31"/>
        <item x="21"/>
        <item x="4"/>
        <item x="0"/>
        <item x="94"/>
        <item x="5"/>
        <item x="78"/>
        <item x="93"/>
        <item x="9"/>
        <item x="76"/>
        <item x="48"/>
        <item x="84"/>
        <item x="34"/>
        <item x="26"/>
        <item x="97"/>
        <item x="60"/>
        <item x="17"/>
        <item x="42"/>
        <item x="8"/>
        <item x="49"/>
        <item x="96"/>
        <item x="20"/>
        <item x="74"/>
        <item x="52"/>
        <item x="36"/>
        <item x="90"/>
        <item x="83"/>
        <item x="22"/>
        <item x="95"/>
        <item x="70"/>
        <item x="24"/>
        <item x="45"/>
        <item x="63"/>
        <item x="10"/>
        <item x="92"/>
        <item x="87"/>
        <item x="28"/>
        <item x="33"/>
        <item x="98"/>
        <item x="30"/>
        <item x="46"/>
        <item x="15"/>
        <item x="88"/>
        <item x="99"/>
        <item x="58"/>
        <item x="89"/>
        <item x="27"/>
        <item x="82"/>
        <item x="23"/>
        <item x="69"/>
        <item x="41"/>
        <item x="16"/>
        <item x="35"/>
        <item x="38"/>
        <item x="65"/>
        <item x="19"/>
        <item x="29"/>
        <item x="53"/>
        <item x="55"/>
        <item x="51"/>
        <item x="13"/>
        <item x="43"/>
        <item x="14"/>
        <item x="54"/>
        <item x="79"/>
        <item x="72"/>
        <item x="80"/>
        <item x="37"/>
        <item x="67"/>
        <item x="18"/>
        <item x="81"/>
        <item x="64"/>
        <item x="2"/>
        <item x="6"/>
        <item x="11"/>
        <item x="12"/>
        <item x="86"/>
        <item x="85"/>
        <item x="7"/>
        <item x="73"/>
        <item x="32"/>
        <item x="57"/>
        <item x="91"/>
        <item x="77"/>
        <item x="71"/>
        <item x="62"/>
        <item x="56"/>
        <item x="66"/>
        <item x="68"/>
        <item x="1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02">
    <i>
      <x v="80"/>
    </i>
    <i>
      <x v="9"/>
    </i>
    <i>
      <x v="55"/>
    </i>
    <i>
      <x v="44"/>
    </i>
    <i>
      <x v="62"/>
    </i>
    <i>
      <x v="5"/>
    </i>
    <i>
      <x v="73"/>
    </i>
    <i>
      <x v="48"/>
    </i>
    <i>
      <x v="96"/>
    </i>
    <i>
      <x v="76"/>
    </i>
    <i>
      <x v="91"/>
    </i>
    <i>
      <x v="42"/>
    </i>
    <i>
      <x v="78"/>
    </i>
    <i>
      <x v="16"/>
    </i>
    <i>
      <x v="85"/>
    </i>
    <i>
      <x v="66"/>
    </i>
    <i>
      <x v="50"/>
    </i>
    <i>
      <x v="26"/>
    </i>
    <i>
      <x/>
    </i>
    <i>
      <x v="11"/>
    </i>
    <i>
      <x v="45"/>
    </i>
    <i>
      <x v="6"/>
    </i>
    <i>
      <x v="3"/>
    </i>
    <i>
      <x v="59"/>
    </i>
    <i>
      <x v="7"/>
    </i>
    <i>
      <x v="30"/>
    </i>
    <i>
      <x v="46"/>
    </i>
    <i>
      <x v="86"/>
    </i>
    <i>
      <x v="94"/>
    </i>
    <i>
      <x v="57"/>
    </i>
    <i>
      <x v="60"/>
    </i>
    <i>
      <x v="95"/>
    </i>
    <i>
      <x v="68"/>
    </i>
    <i>
      <x v="4"/>
    </i>
    <i>
      <x v="65"/>
    </i>
    <i>
      <x v="34"/>
    </i>
    <i>
      <x v="40"/>
    </i>
    <i>
      <x v="13"/>
    </i>
    <i>
      <x v="75"/>
    </i>
    <i>
      <x v="98"/>
    </i>
    <i>
      <x v="63"/>
    </i>
    <i>
      <x v="74"/>
    </i>
    <i>
      <x v="32"/>
    </i>
    <i>
      <x v="27"/>
    </i>
    <i>
      <x v="64"/>
    </i>
    <i>
      <x v="25"/>
    </i>
    <i>
      <x v="38"/>
    </i>
    <i>
      <x v="29"/>
    </i>
    <i>
      <x v="82"/>
    </i>
    <i>
      <x v="35"/>
    </i>
    <i>
      <x v="87"/>
    </i>
    <i>
      <x v="12"/>
    </i>
    <i>
      <x v="36"/>
    </i>
    <i>
      <x v="89"/>
    </i>
    <i>
      <x v="97"/>
    </i>
    <i>
      <x v="47"/>
    </i>
    <i>
      <x v="71"/>
    </i>
    <i>
      <x v="8"/>
    </i>
    <i>
      <x v="72"/>
    </i>
    <i>
      <x v="53"/>
    </i>
    <i>
      <x v="99"/>
    </i>
    <i>
      <x v="43"/>
    </i>
    <i>
      <x v="67"/>
    </i>
    <i>
      <x v="22"/>
    </i>
    <i>
      <x v="14"/>
    </i>
    <i>
      <x v="69"/>
    </i>
    <i>
      <x v="10"/>
    </i>
    <i>
      <x v="37"/>
    </i>
    <i>
      <x v="19"/>
    </i>
    <i>
      <x v="21"/>
    </i>
    <i>
      <x v="15"/>
    </i>
    <i>
      <x v="93"/>
    </i>
    <i>
      <x v="24"/>
    </i>
    <i>
      <x v="92"/>
    </i>
    <i>
      <x v="83"/>
    </i>
    <i>
      <x v="81"/>
    </i>
    <i>
      <x v="23"/>
    </i>
    <i>
      <x v="79"/>
    </i>
    <i>
      <x v="61"/>
    </i>
    <i>
      <x v="52"/>
    </i>
    <i>
      <x v="1"/>
    </i>
    <i>
      <x v="2"/>
    </i>
    <i>
      <x v="56"/>
    </i>
    <i>
      <x v="70"/>
    </i>
    <i>
      <x v="77"/>
    </i>
    <i>
      <x v="28"/>
    </i>
    <i>
      <x v="31"/>
    </i>
    <i>
      <x v="90"/>
    </i>
    <i>
      <x v="39"/>
    </i>
    <i>
      <x v="41"/>
    </i>
    <i>
      <x v="58"/>
    </i>
    <i>
      <x v="88"/>
    </i>
    <i>
      <x v="49"/>
    </i>
    <i>
      <x v="20"/>
    </i>
    <i>
      <x v="33"/>
    </i>
    <i>
      <x v="18"/>
    </i>
    <i>
      <x v="17"/>
    </i>
    <i>
      <x v="51"/>
    </i>
    <i>
      <x v="84"/>
    </i>
    <i>
      <x v="54"/>
    </i>
    <i>
      <x v="100"/>
    </i>
    <i t="grand">
      <x/>
    </i>
  </rowItems>
  <colItems count="1">
    <i/>
  </colItems>
  <dataFields count="1">
    <dataField name="Sum of repair_cos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E7B2A7-0B85-4112-BA32-7D6A474A510A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2:I29" firstHeaderRow="1" firstDataRow="1" firstDataCol="1"/>
  <pivotFields count="9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7">
        <item x="1"/>
        <item x="2"/>
        <item x="5"/>
        <item x="0"/>
        <item x="3"/>
        <item x="4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efect_id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BEBA1-2DC0-4907-A498-0BDE42A9255C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H10:I17" firstHeaderRow="1" firstDataRow="1" firstDataCol="1"/>
  <pivotFields count="9"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axis="axisRow" showAll="0">
      <items count="7">
        <item x="1"/>
        <item x="2"/>
        <item x="5"/>
        <item x="0"/>
        <item x="3"/>
        <item x="4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pair_cos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BCDA2-39CD-4080-8C4E-98B02763BDD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E127" firstHeaderRow="1" firstDataRow="2" firstDataCol="1"/>
  <pivotFields count="8">
    <pivotField showAll="0"/>
    <pivotField axis="axisRow" showAll="0">
      <items count="101">
        <item x="61"/>
        <item x="47"/>
        <item x="25"/>
        <item x="75"/>
        <item x="44"/>
        <item x="1"/>
        <item x="40"/>
        <item x="59"/>
        <item x="39"/>
        <item x="3"/>
        <item x="50"/>
        <item x="31"/>
        <item x="21"/>
        <item x="4"/>
        <item x="0"/>
        <item x="94"/>
        <item x="5"/>
        <item x="78"/>
        <item x="93"/>
        <item x="9"/>
        <item x="76"/>
        <item x="48"/>
        <item x="84"/>
        <item x="34"/>
        <item x="26"/>
        <item x="97"/>
        <item x="60"/>
        <item x="17"/>
        <item x="42"/>
        <item x="8"/>
        <item x="49"/>
        <item x="96"/>
        <item x="20"/>
        <item x="74"/>
        <item x="52"/>
        <item x="36"/>
        <item x="90"/>
        <item x="83"/>
        <item x="22"/>
        <item x="95"/>
        <item x="70"/>
        <item x="24"/>
        <item x="45"/>
        <item x="63"/>
        <item x="10"/>
        <item x="92"/>
        <item x="87"/>
        <item x="28"/>
        <item x="33"/>
        <item x="98"/>
        <item x="30"/>
        <item x="46"/>
        <item x="15"/>
        <item x="88"/>
        <item x="99"/>
        <item x="58"/>
        <item x="89"/>
        <item x="27"/>
        <item x="82"/>
        <item x="23"/>
        <item x="69"/>
        <item x="41"/>
        <item x="16"/>
        <item x="35"/>
        <item x="38"/>
        <item x="65"/>
        <item x="19"/>
        <item x="29"/>
        <item x="53"/>
        <item x="55"/>
        <item x="51"/>
        <item x="13"/>
        <item x="43"/>
        <item x="14"/>
        <item x="54"/>
        <item x="79"/>
        <item x="72"/>
        <item x="80"/>
        <item x="37"/>
        <item x="67"/>
        <item x="18"/>
        <item x="81"/>
        <item x="64"/>
        <item x="2"/>
        <item x="6"/>
        <item x="11"/>
        <item x="12"/>
        <item x="86"/>
        <item x="85"/>
        <item x="7"/>
        <item x="73"/>
        <item x="32"/>
        <item x="57"/>
        <item x="91"/>
        <item x="77"/>
        <item x="71"/>
        <item x="62"/>
        <item x="56"/>
        <item x="66"/>
        <item x="68"/>
        <item t="default"/>
      </items>
    </pivotField>
    <pivotField dataField="1" showAll="0">
      <items count="4">
        <item x="2"/>
        <item x="1"/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Col" multipleItemSelectionAllowed="1" showAll="0">
      <items count="4">
        <item x="1"/>
        <item x="0"/>
        <item x="2"/>
        <item t="default"/>
      </items>
    </pivotField>
    <pivotField showAll="0"/>
    <pivotField showAll="0">
      <items count="997">
        <item x="171"/>
        <item x="699"/>
        <item x="830"/>
        <item x="317"/>
        <item x="190"/>
        <item x="952"/>
        <item x="468"/>
        <item x="955"/>
        <item x="579"/>
        <item x="260"/>
        <item x="106"/>
        <item x="301"/>
        <item x="378"/>
        <item x="876"/>
        <item x="688"/>
        <item x="939"/>
        <item x="879"/>
        <item x="773"/>
        <item x="611"/>
        <item x="616"/>
        <item x="125"/>
        <item x="346"/>
        <item x="144"/>
        <item x="1"/>
        <item x="38"/>
        <item x="507"/>
        <item x="682"/>
        <item x="813"/>
        <item x="67"/>
        <item x="380"/>
        <item x="635"/>
        <item x="905"/>
        <item x="6"/>
        <item x="675"/>
        <item x="432"/>
        <item x="18"/>
        <item x="551"/>
        <item x="781"/>
        <item x="784"/>
        <item x="683"/>
        <item x="225"/>
        <item x="367"/>
        <item x="502"/>
        <item x="897"/>
        <item x="359"/>
        <item x="320"/>
        <item x="269"/>
        <item x="335"/>
        <item x="662"/>
        <item x="66"/>
        <item x="548"/>
        <item x="536"/>
        <item x="235"/>
        <item x="314"/>
        <item x="748"/>
        <item x="589"/>
        <item x="986"/>
        <item x="643"/>
        <item x="531"/>
        <item x="308"/>
        <item x="309"/>
        <item x="647"/>
        <item x="251"/>
        <item x="902"/>
        <item x="907"/>
        <item x="738"/>
        <item x="592"/>
        <item x="195"/>
        <item x="7"/>
        <item x="411"/>
        <item x="766"/>
        <item x="990"/>
        <item x="610"/>
        <item x="735"/>
        <item x="141"/>
        <item x="558"/>
        <item x="917"/>
        <item x="542"/>
        <item x="521"/>
        <item x="350"/>
        <item x="912"/>
        <item x="413"/>
        <item x="395"/>
        <item x="135"/>
        <item x="181"/>
        <item x="184"/>
        <item x="501"/>
        <item x="64"/>
        <item x="878"/>
        <item x="189"/>
        <item x="187"/>
        <item x="947"/>
        <item x="283"/>
        <item x="809"/>
        <item x="300"/>
        <item x="910"/>
        <item x="821"/>
        <item x="708"/>
        <item x="52"/>
        <item x="807"/>
        <item x="398"/>
        <item x="151"/>
        <item x="369"/>
        <item x="399"/>
        <item x="840"/>
        <item x="284"/>
        <item x="870"/>
        <item x="28"/>
        <item x="421"/>
        <item x="201"/>
        <item x="983"/>
        <item x="351"/>
        <item x="165"/>
        <item x="828"/>
        <item x="29"/>
        <item x="396"/>
        <item x="37"/>
        <item x="911"/>
        <item x="790"/>
        <item x="980"/>
        <item x="677"/>
        <item x="833"/>
        <item x="832"/>
        <item x="230"/>
        <item x="518"/>
        <item x="375"/>
        <item x="862"/>
        <item x="768"/>
        <item x="636"/>
        <item x="928"/>
        <item x="927"/>
        <item x="827"/>
        <item x="272"/>
        <item x="523"/>
        <item x="702"/>
        <item x="567"/>
        <item x="721"/>
        <item x="941"/>
        <item x="690"/>
        <item x="246"/>
        <item x="105"/>
        <item x="885"/>
        <item x="582"/>
        <item x="969"/>
        <item x="474"/>
        <item x="751"/>
        <item x="864"/>
        <item x="958"/>
        <item x="525"/>
        <item x="41"/>
        <item x="252"/>
        <item x="715"/>
        <item x="868"/>
        <item x="481"/>
        <item x="247"/>
        <item x="466"/>
        <item x="584"/>
        <item x="597"/>
        <item x="574"/>
        <item x="672"/>
        <item x="658"/>
        <item x="844"/>
        <item x="904"/>
        <item x="259"/>
        <item x="937"/>
        <item x="47"/>
        <item x="355"/>
        <item x="882"/>
        <item x="726"/>
        <item x="701"/>
        <item x="253"/>
        <item x="198"/>
        <item x="328"/>
        <item x="641"/>
        <item x="176"/>
        <item x="379"/>
        <item x="622"/>
        <item x="293"/>
        <item x="377"/>
        <item x="435"/>
        <item x="490"/>
        <item x="639"/>
        <item x="70"/>
        <item x="728"/>
        <item x="14"/>
        <item x="193"/>
        <item x="565"/>
        <item x="594"/>
        <item x="115"/>
        <item x="651"/>
        <item x="323"/>
        <item x="282"/>
        <item x="391"/>
        <item x="341"/>
        <item x="84"/>
        <item x="638"/>
        <item x="557"/>
        <item x="535"/>
        <item x="587"/>
        <item x="56"/>
        <item x="692"/>
        <item x="797"/>
        <item x="866"/>
        <item x="107"/>
        <item x="787"/>
        <item x="429"/>
        <item x="909"/>
        <item x="437"/>
        <item x="44"/>
        <item x="10"/>
        <item x="192"/>
        <item x="618"/>
        <item x="86"/>
        <item x="650"/>
        <item x="632"/>
        <item x="484"/>
        <item x="254"/>
        <item x="924"/>
        <item x="826"/>
        <item x="75"/>
        <item x="363"/>
        <item x="654"/>
        <item x="433"/>
        <item x="485"/>
        <item x="294"/>
        <item x="162"/>
        <item x="324"/>
        <item x="128"/>
        <item x="340"/>
        <item x="0"/>
        <item x="664"/>
        <item x="894"/>
        <item x="685"/>
        <item x="619"/>
        <item x="415"/>
        <item x="440"/>
        <item x="203"/>
        <item x="843"/>
        <item x="511"/>
        <item x="645"/>
        <item x="653"/>
        <item x="936"/>
        <item x="596"/>
        <item x="929"/>
        <item x="130"/>
        <item x="327"/>
        <item x="487"/>
        <item x="202"/>
        <item x="370"/>
        <item x="775"/>
        <item x="81"/>
        <item x="121"/>
        <item x="239"/>
        <item x="277"/>
        <item x="326"/>
        <item x="908"/>
        <item x="888"/>
        <item x="186"/>
        <item x="791"/>
        <item x="455"/>
        <item x="601"/>
        <item x="981"/>
        <item x="332"/>
        <item x="264"/>
        <item x="91"/>
        <item x="240"/>
        <item x="625"/>
        <item x="950"/>
        <item x="281"/>
        <item x="680"/>
        <item x="479"/>
        <item x="684"/>
        <item x="302"/>
        <item x="494"/>
        <item x="450"/>
        <item x="215"/>
        <item x="598"/>
        <item x="930"/>
        <item x="953"/>
        <item x="519"/>
        <item x="57"/>
        <item x="297"/>
        <item x="591"/>
        <item x="126"/>
        <item x="603"/>
        <item x="110"/>
        <item x="630"/>
        <item x="382"/>
        <item x="205"/>
        <item x="764"/>
        <item x="188"/>
        <item x="53"/>
        <item x="681"/>
        <item x="604"/>
        <item x="966"/>
        <item x="961"/>
        <item x="117"/>
        <item x="233"/>
        <item x="338"/>
        <item x="753"/>
        <item x="847"/>
        <item x="289"/>
        <item x="265"/>
        <item x="292"/>
        <item x="724"/>
        <item x="385"/>
        <item x="659"/>
        <item x="404"/>
        <item x="345"/>
        <item x="296"/>
        <item x="686"/>
        <item x="786"/>
        <item x="922"/>
        <item x="226"/>
        <item x="798"/>
        <item x="483"/>
        <item x="62"/>
        <item x="51"/>
        <item x="103"/>
        <item x="796"/>
        <item x="426"/>
        <item x="861"/>
        <item x="674"/>
        <item x="145"/>
        <item x="581"/>
        <item x="22"/>
        <item x="285"/>
        <item x="381"/>
        <item x="920"/>
        <item x="170"/>
        <item x="74"/>
        <item x="30"/>
        <item x="935"/>
        <item x="555"/>
        <item x="238"/>
        <item x="727"/>
        <item x="298"/>
        <item x="299"/>
        <item x="960"/>
        <item x="453"/>
        <item x="356"/>
        <item x="114"/>
        <item x="563"/>
        <item x="754"/>
        <item x="506"/>
        <item x="515"/>
        <item x="526"/>
        <item x="344"/>
        <item x="670"/>
        <item x="532"/>
        <item x="39"/>
        <item x="540"/>
        <item x="673"/>
        <item x="803"/>
        <item x="815"/>
        <item x="407"/>
        <item x="667"/>
        <item x="365"/>
        <item x="134"/>
        <item x="132"/>
        <item x="153"/>
        <item x="810"/>
        <item x="109"/>
        <item x="566"/>
        <item x="956"/>
        <item x="180"/>
        <item x="48"/>
        <item x="329"/>
        <item x="431"/>
        <item x="834"/>
        <item x="711"/>
        <item x="608"/>
        <item x="740"/>
        <item x="575"/>
        <item x="744"/>
        <item x="59"/>
        <item x="679"/>
        <item x="54"/>
        <item x="533"/>
        <item x="984"/>
        <item x="590"/>
        <item x="668"/>
        <item x="993"/>
        <item x="383"/>
        <item x="576"/>
        <item x="488"/>
        <item x="263"/>
        <item x="449"/>
        <item x="919"/>
        <item x="318"/>
        <item x="739"/>
        <item x="588"/>
        <item x="504"/>
        <item x="851"/>
        <item x="149"/>
        <item x="663"/>
        <item x="349"/>
        <item x="835"/>
        <item x="606"/>
        <item x="734"/>
        <item x="286"/>
        <item x="354"/>
        <item x="287"/>
        <item x="152"/>
        <item x="987"/>
        <item x="779"/>
        <item x="210"/>
        <item x="234"/>
        <item x="901"/>
        <item x="270"/>
        <item x="652"/>
        <item x="50"/>
        <item x="892"/>
        <item x="660"/>
        <item x="889"/>
        <item x="722"/>
        <item x="841"/>
        <item x="423"/>
        <item x="714"/>
        <item x="232"/>
        <item x="973"/>
        <item x="325"/>
        <item x="906"/>
        <item x="273"/>
        <item x="360"/>
        <item x="3"/>
        <item x="858"/>
        <item x="262"/>
        <item x="824"/>
        <item x="517"/>
        <item x="852"/>
        <item x="899"/>
        <item x="788"/>
        <item x="848"/>
        <item x="649"/>
        <item x="883"/>
        <item x="43"/>
        <item x="15"/>
        <item x="694"/>
        <item x="211"/>
        <item x="417"/>
        <item x="157"/>
        <item x="94"/>
        <item x="420"/>
        <item x="469"/>
        <item x="747"/>
        <item x="71"/>
        <item x="689"/>
        <item x="311"/>
        <item x="342"/>
        <item x="245"/>
        <item x="755"/>
        <item x="208"/>
        <item x="408"/>
        <item x="644"/>
        <item x="401"/>
        <item x="414"/>
        <item x="209"/>
        <item x="634"/>
        <item x="9"/>
        <item x="605"/>
        <item x="333"/>
        <item x="218"/>
        <item x="678"/>
        <item x="946"/>
        <item x="352"/>
        <item x="444"/>
        <item x="196"/>
        <item x="224"/>
        <item x="217"/>
        <item x="11"/>
        <item x="949"/>
        <item x="593"/>
        <item x="872"/>
        <item x="926"/>
        <item x="428"/>
        <item x="316"/>
        <item x="737"/>
        <item x="89"/>
        <item x="131"/>
        <item x="358"/>
        <item x="305"/>
        <item x="528"/>
        <item x="514"/>
        <item x="669"/>
        <item x="849"/>
        <item x="538"/>
        <item x="113"/>
        <item x="133"/>
        <item x="933"/>
        <item x="400"/>
        <item x="280"/>
        <item x="150"/>
        <item x="278"/>
        <item x="585"/>
        <item x="21"/>
        <item x="873"/>
        <item x="745"/>
        <item x="572"/>
        <item x="16"/>
        <item x="73"/>
        <item x="386"/>
        <item x="913"/>
        <item x="550"/>
        <item x="90"/>
        <item x="770"/>
        <item x="319"/>
        <item x="478"/>
        <item x="167"/>
        <item x="183"/>
        <item x="442"/>
        <item x="213"/>
        <item x="512"/>
        <item x="120"/>
        <item x="61"/>
        <item x="963"/>
        <item x="570"/>
        <item x="191"/>
        <item x="881"/>
        <item x="40"/>
        <item x="839"/>
        <item x="761"/>
        <item x="397"/>
        <item x="691"/>
        <item x="178"/>
        <item x="159"/>
        <item x="124"/>
        <item x="495"/>
        <item x="42"/>
        <item x="945"/>
        <item x="914"/>
        <item x="710"/>
        <item x="836"/>
        <item x="547"/>
        <item x="98"/>
        <item x="621"/>
        <item x="17"/>
        <item x="427"/>
        <item x="185"/>
        <item x="749"/>
        <item x="793"/>
        <item x="249"/>
        <item x="794"/>
        <item x="628"/>
        <item x="693"/>
        <item x="757"/>
        <item x="719"/>
        <item x="771"/>
        <item x="561"/>
        <item x="93"/>
        <item x="83"/>
        <item x="290"/>
        <item x="850"/>
        <item x="19"/>
        <item x="631"/>
        <item x="276"/>
        <item x="143"/>
        <item x="23"/>
        <item x="825"/>
        <item x="197"/>
        <item x="642"/>
        <item x="389"/>
        <item x="577"/>
        <item x="967"/>
        <item x="573"/>
        <item x="315"/>
        <item x="460"/>
        <item x="948"/>
        <item x="785"/>
        <item x="49"/>
        <item x="530"/>
        <item x="372"/>
        <item x="434"/>
        <item x="633"/>
        <item x="214"/>
        <item x="137"/>
        <item x="985"/>
        <item x="808"/>
        <item x="586"/>
        <item x="900"/>
        <item x="869"/>
        <item x="362"/>
        <item x="304"/>
        <item x="227"/>
        <item x="463"/>
        <item x="96"/>
        <item x="731"/>
        <item x="366"/>
        <item x="915"/>
        <item x="812"/>
        <item x="457"/>
        <item x="934"/>
        <item x="27"/>
        <item x="155"/>
        <item x="136"/>
        <item x="801"/>
        <item x="13"/>
        <item x="931"/>
        <item x="271"/>
        <item x="36"/>
        <item x="439"/>
        <item x="412"/>
        <item x="763"/>
        <item x="962"/>
        <item x="279"/>
        <item x="977"/>
        <item x="160"/>
        <item x="957"/>
        <item x="476"/>
        <item x="161"/>
        <item x="762"/>
        <item x="543"/>
        <item x="257"/>
        <item x="718"/>
        <item x="769"/>
        <item x="499"/>
        <item x="473"/>
        <item x="544"/>
        <item x="123"/>
        <item x="216"/>
        <item x="458"/>
        <item x="406"/>
        <item x="219"/>
        <item x="752"/>
        <item x="513"/>
        <item x="322"/>
        <item x="970"/>
        <item x="896"/>
        <item x="199"/>
        <item x="24"/>
        <item x="730"/>
        <item x="76"/>
        <item x="274"/>
        <item x="409"/>
        <item x="228"/>
        <item x="623"/>
        <item x="119"/>
        <item x="489"/>
        <item x="554"/>
        <item x="648"/>
        <item x="486"/>
        <item x="97"/>
        <item x="863"/>
        <item x="855"/>
        <item x="310"/>
        <item x="472"/>
        <item x="974"/>
        <item x="425"/>
        <item x="767"/>
        <item x="122"/>
        <item x="295"/>
        <item x="339"/>
        <item x="85"/>
        <item x="158"/>
        <item x="72"/>
        <item x="599"/>
        <item x="241"/>
        <item x="583"/>
        <item x="925"/>
        <item x="580"/>
        <item x="705"/>
        <item x="394"/>
        <item x="459"/>
        <item x="462"/>
        <item x="508"/>
        <item x="58"/>
        <item x="275"/>
        <item x="99"/>
        <item x="267"/>
        <item x="60"/>
        <item x="545"/>
        <item x="116"/>
        <item x="617"/>
        <item x="140"/>
        <item x="666"/>
        <item x="475"/>
        <item x="546"/>
        <item x="696"/>
        <item x="607"/>
        <item x="959"/>
        <item x="811"/>
        <item x="891"/>
        <item x="750"/>
        <item x="480"/>
        <item x="364"/>
        <item x="822"/>
        <item x="846"/>
        <item x="373"/>
        <item x="982"/>
        <item x="418"/>
        <item x="348"/>
        <item x="774"/>
        <item x="92"/>
        <item x="454"/>
        <item x="612"/>
        <item x="492"/>
        <item x="656"/>
        <item x="627"/>
        <item x="549"/>
        <item x="448"/>
        <item x="497"/>
        <item x="965"/>
        <item x="898"/>
        <item x="707"/>
        <item x="242"/>
        <item x="978"/>
        <item x="82"/>
        <item x="723"/>
        <item x="12"/>
        <item x="173"/>
        <item x="438"/>
        <item x="118"/>
        <item x="800"/>
        <item x="578"/>
        <item x="975"/>
        <item x="229"/>
        <item x="236"/>
        <item x="306"/>
        <item x="69"/>
        <item x="884"/>
        <item x="95"/>
        <item x="312"/>
        <item x="776"/>
        <item x="31"/>
        <item x="871"/>
        <item x="614"/>
        <item x="26"/>
        <item x="942"/>
        <item x="361"/>
        <item x="393"/>
        <item x="944"/>
        <item x="831"/>
        <item x="720"/>
        <item x="148"/>
        <item x="422"/>
        <item x="759"/>
        <item x="932"/>
        <item x="687"/>
        <item x="446"/>
        <item x="331"/>
        <item x="436"/>
        <item x="865"/>
        <item x="765"/>
        <item x="33"/>
        <item x="177"/>
        <item x="343"/>
        <item x="646"/>
        <item x="505"/>
        <item x="138"/>
        <item x="845"/>
        <item x="695"/>
        <item x="713"/>
        <item x="465"/>
        <item x="756"/>
        <item x="709"/>
        <item x="248"/>
        <item x="46"/>
        <item x="874"/>
        <item x="559"/>
        <item x="510"/>
        <item x="624"/>
        <item x="65"/>
        <item x="256"/>
        <item x="376"/>
        <item x="994"/>
        <item x="498"/>
        <item x="87"/>
        <item x="35"/>
        <item x="220"/>
        <item x="626"/>
        <item x="445"/>
        <item x="887"/>
        <item x="629"/>
        <item x="706"/>
        <item x="200"/>
        <item x="147"/>
        <item x="392"/>
        <item x="102"/>
        <item x="5"/>
        <item x="156"/>
        <item x="742"/>
        <item x="703"/>
        <item x="168"/>
        <item x="859"/>
        <item x="509"/>
        <item x="467"/>
        <item x="804"/>
        <item x="206"/>
        <item x="918"/>
        <item x="164"/>
        <item x="854"/>
        <item x="529"/>
        <item x="266"/>
        <item x="880"/>
        <item x="838"/>
        <item x="384"/>
        <item x="780"/>
        <item x="615"/>
        <item x="452"/>
        <item x="971"/>
        <item x="988"/>
        <item x="620"/>
        <item x="405"/>
        <item x="402"/>
        <item x="552"/>
        <item x="991"/>
        <item x="111"/>
        <item x="657"/>
        <item x="443"/>
        <item x="291"/>
        <item x="243"/>
        <item x="493"/>
        <item x="4"/>
        <item x="665"/>
        <item x="45"/>
        <item x="204"/>
        <item x="347"/>
        <item x="534"/>
        <item x="562"/>
        <item x="938"/>
        <item x="80"/>
        <item x="419"/>
        <item x="778"/>
        <item x="63"/>
        <item x="20"/>
        <item x="470"/>
        <item x="829"/>
        <item x="424"/>
        <item x="2"/>
        <item x="655"/>
        <item x="609"/>
        <item x="820"/>
        <item x="729"/>
        <item x="353"/>
        <item x="221"/>
        <item x="976"/>
        <item x="68"/>
        <item x="8"/>
        <item x="179"/>
        <item x="537"/>
        <item x="837"/>
        <item x="814"/>
        <item x="968"/>
        <item x="782"/>
        <item x="856"/>
        <item x="743"/>
        <item x="313"/>
        <item x="303"/>
        <item x="792"/>
        <item x="100"/>
        <item x="916"/>
        <item x="430"/>
        <item x="255"/>
        <item x="700"/>
        <item x="129"/>
        <item x="491"/>
        <item x="321"/>
        <item x="387"/>
        <item x="676"/>
        <item x="334"/>
        <item x="972"/>
        <item x="390"/>
        <item x="244"/>
        <item x="819"/>
        <item x="237"/>
        <item x="595"/>
        <item x="231"/>
        <item x="877"/>
        <item x="613"/>
        <item x="524"/>
        <item x="733"/>
        <item x="698"/>
        <item x="477"/>
        <item x="127"/>
        <item x="895"/>
        <item x="736"/>
        <item x="456"/>
        <item x="368"/>
        <item x="464"/>
        <item x="553"/>
        <item x="258"/>
        <item x="886"/>
        <item x="890"/>
        <item x="451"/>
        <item x="568"/>
        <item x="823"/>
        <item x="923"/>
        <item x="261"/>
        <item x="471"/>
        <item x="539"/>
        <item x="447"/>
        <item x="717"/>
        <item x="799"/>
        <item x="441"/>
        <item x="795"/>
        <item x="857"/>
        <item x="806"/>
        <item x="671"/>
        <item x="954"/>
        <item x="142"/>
        <item x="760"/>
        <item x="661"/>
        <item x="212"/>
        <item x="461"/>
        <item x="777"/>
        <item x="388"/>
        <item x="602"/>
        <item x="88"/>
        <item x="741"/>
        <item x="104"/>
        <item x="500"/>
        <item x="522"/>
        <item x="194"/>
        <item x="288"/>
        <item x="146"/>
        <item x="600"/>
        <item x="207"/>
        <item x="560"/>
        <item x="172"/>
        <item x="712"/>
        <item x="482"/>
        <item x="921"/>
        <item x="154"/>
        <item x="816"/>
        <item x="842"/>
        <item x="875"/>
        <item x="268"/>
        <item x="697"/>
        <item x="979"/>
        <item x="169"/>
        <item x="516"/>
        <item x="503"/>
        <item x="992"/>
        <item x="569"/>
        <item x="403"/>
        <item x="964"/>
        <item x="556"/>
        <item x="564"/>
        <item x="783"/>
        <item x="943"/>
        <item x="789"/>
        <item x="307"/>
        <item x="758"/>
        <item x="166"/>
        <item x="860"/>
        <item x="175"/>
        <item x="336"/>
        <item x="32"/>
        <item x="139"/>
        <item x="34"/>
        <item x="805"/>
        <item x="772"/>
        <item x="410"/>
        <item x="55"/>
        <item x="337"/>
        <item x="640"/>
        <item x="541"/>
        <item x="817"/>
        <item x="951"/>
        <item x="374"/>
        <item x="995"/>
        <item x="78"/>
        <item x="637"/>
        <item x="716"/>
        <item x="704"/>
        <item x="182"/>
        <item x="989"/>
        <item x="330"/>
        <item x="101"/>
        <item x="222"/>
        <item x="520"/>
        <item x="25"/>
        <item x="496"/>
        <item x="77"/>
        <item x="571"/>
        <item x="108"/>
        <item x="250"/>
        <item x="163"/>
        <item x="416"/>
        <item x="903"/>
        <item x="725"/>
        <item x="818"/>
        <item x="940"/>
        <item x="223"/>
        <item x="746"/>
        <item x="893"/>
        <item x="867"/>
        <item x="79"/>
        <item x="853"/>
        <item x="732"/>
        <item x="371"/>
        <item x="802"/>
        <item x="527"/>
        <item x="112"/>
        <item x="357"/>
        <item x="174"/>
        <item t="default"/>
      </items>
    </pivotField>
  </pivotFields>
  <rowFields count="1">
    <field x="1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defect_typ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72E91-0DBB-4D26-8F4D-CA3EE484F32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fect type ">
  <location ref="A5:B9" firstHeaderRow="1" firstDataRow="1" firstDataCol="1" rowPageCount="1" colPageCount="1"/>
  <pivotFields count="8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numFmtId="14" showAll="0"/>
    <pivotField showAll="0">
      <items count="4">
        <item x="0"/>
        <item x="1"/>
        <item x="2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hier="-1"/>
  </pageFields>
  <dataFields count="1">
    <dataField name="Count of defect_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F0C3F-DD87-4405-B0F9-B6F38D2AC497}" name="PivotTable1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spection method with the lowest repair cost ">
  <location ref="H60:J64" firstHeaderRow="0" firstDataRow="1" firstDataCol="1"/>
  <pivotFields count="9">
    <pivotField dataField="1" showAll="0"/>
    <pivotField showAll="0"/>
    <pivotField showAll="0"/>
    <pivotField numFmtId="14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pair_cost" fld="7" baseField="0" baseItem="0"/>
    <dataField name="Sum of defect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1D363-E3C5-4C0F-BDD3-4FDA27AF0876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fect type ">
  <location ref="H34:O39" firstHeaderRow="1" firstDataRow="2" firstDataCol="1"/>
  <pivotFields count="9"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numFmtId="14"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7">
        <item x="1"/>
        <item x="2"/>
        <item x="5"/>
        <item x="0"/>
        <item x="3"/>
        <item x="4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defect_typ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1237E-0BBC-4022-BE31-4769B447510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H3:I7" firstHeaderRow="1" firstDataRow="1" firstDataCol="1"/>
  <pivotFields count="8">
    <pivotField showAll="0"/>
    <pivotField showAll="0"/>
    <pivotField showAll="0"/>
    <pivotField numFmtId="14" showAll="0">
      <items count="183">
        <item x="180"/>
        <item x="23"/>
        <item x="41"/>
        <item x="118"/>
        <item x="134"/>
        <item x="34"/>
        <item x="109"/>
        <item x="146"/>
        <item x="80"/>
        <item x="156"/>
        <item x="50"/>
        <item x="79"/>
        <item x="24"/>
        <item x="64"/>
        <item x="6"/>
        <item x="94"/>
        <item x="108"/>
        <item x="169"/>
        <item x="45"/>
        <item x="14"/>
        <item x="65"/>
        <item x="25"/>
        <item x="142"/>
        <item x="100"/>
        <item x="75"/>
        <item x="7"/>
        <item x="99"/>
        <item x="126"/>
        <item x="96"/>
        <item x="103"/>
        <item x="120"/>
        <item x="84"/>
        <item x="72"/>
        <item x="89"/>
        <item x="83"/>
        <item x="136"/>
        <item x="58"/>
        <item x="139"/>
        <item x="131"/>
        <item x="66"/>
        <item x="171"/>
        <item x="177"/>
        <item x="123"/>
        <item x="145"/>
        <item x="40"/>
        <item x="2"/>
        <item x="179"/>
        <item x="68"/>
        <item x="47"/>
        <item x="21"/>
        <item x="157"/>
        <item x="90"/>
        <item x="78"/>
        <item x="20"/>
        <item x="42"/>
        <item x="10"/>
        <item x="167"/>
        <item x="140"/>
        <item x="161"/>
        <item x="110"/>
        <item x="150"/>
        <item x="85"/>
        <item x="114"/>
        <item x="166"/>
        <item x="54"/>
        <item x="18"/>
        <item x="69"/>
        <item x="49"/>
        <item x="107"/>
        <item x="46"/>
        <item x="35"/>
        <item x="121"/>
        <item x="154"/>
        <item x="59"/>
        <item x="53"/>
        <item x="168"/>
        <item x="127"/>
        <item x="176"/>
        <item x="130"/>
        <item x="88"/>
        <item x="113"/>
        <item x="97"/>
        <item x="37"/>
        <item x="125"/>
        <item x="92"/>
        <item x="162"/>
        <item x="57"/>
        <item x="3"/>
        <item x="27"/>
        <item x="132"/>
        <item x="141"/>
        <item x="71"/>
        <item x="60"/>
        <item x="175"/>
        <item x="30"/>
        <item x="95"/>
        <item x="86"/>
        <item x="158"/>
        <item x="74"/>
        <item x="135"/>
        <item x="81"/>
        <item x="61"/>
        <item x="159"/>
        <item x="151"/>
        <item x="117"/>
        <item x="148"/>
        <item x="51"/>
        <item x="181"/>
        <item x="153"/>
        <item x="91"/>
        <item x="104"/>
        <item x="172"/>
        <item x="119"/>
        <item x="87"/>
        <item x="39"/>
        <item x="143"/>
        <item x="1"/>
        <item x="63"/>
        <item x="9"/>
        <item x="149"/>
        <item x="26"/>
        <item x="67"/>
        <item x="133"/>
        <item x="13"/>
        <item x="129"/>
        <item x="128"/>
        <item x="19"/>
        <item x="101"/>
        <item x="12"/>
        <item x="160"/>
        <item x="122"/>
        <item x="4"/>
        <item x="165"/>
        <item x="164"/>
        <item x="15"/>
        <item x="28"/>
        <item x="73"/>
        <item x="102"/>
        <item x="36"/>
        <item x="44"/>
        <item x="56"/>
        <item x="16"/>
        <item x="137"/>
        <item x="5"/>
        <item x="52"/>
        <item x="17"/>
        <item x="138"/>
        <item x="38"/>
        <item x="116"/>
        <item x="106"/>
        <item x="147"/>
        <item x="76"/>
        <item x="178"/>
        <item x="111"/>
        <item x="105"/>
        <item x="31"/>
        <item x="8"/>
        <item x="0"/>
        <item x="98"/>
        <item x="32"/>
        <item x="82"/>
        <item x="174"/>
        <item x="48"/>
        <item x="144"/>
        <item x="155"/>
        <item x="152"/>
        <item x="22"/>
        <item x="170"/>
        <item x="173"/>
        <item x="93"/>
        <item x="29"/>
        <item x="11"/>
        <item x="115"/>
        <item x="112"/>
        <item x="124"/>
        <item x="62"/>
        <item x="33"/>
        <item x="43"/>
        <item x="163"/>
        <item x="77"/>
        <item x="55"/>
        <item x="70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 includeNewItemsInFilter="1" avgSubtotal="1">
      <items count="997">
        <item x="171"/>
        <item x="699"/>
        <item x="830"/>
        <item x="317"/>
        <item x="190"/>
        <item x="952"/>
        <item x="468"/>
        <item x="955"/>
        <item x="579"/>
        <item x="260"/>
        <item x="106"/>
        <item x="301"/>
        <item x="378"/>
        <item x="876"/>
        <item x="688"/>
        <item x="939"/>
        <item x="879"/>
        <item x="773"/>
        <item x="611"/>
        <item x="616"/>
        <item x="125"/>
        <item x="346"/>
        <item x="144"/>
        <item x="1"/>
        <item x="38"/>
        <item x="507"/>
        <item x="682"/>
        <item x="813"/>
        <item x="67"/>
        <item x="380"/>
        <item x="635"/>
        <item x="905"/>
        <item x="6"/>
        <item x="675"/>
        <item x="432"/>
        <item x="18"/>
        <item x="551"/>
        <item x="781"/>
        <item x="784"/>
        <item x="683"/>
        <item x="225"/>
        <item x="367"/>
        <item x="502"/>
        <item x="897"/>
        <item x="359"/>
        <item x="320"/>
        <item x="269"/>
        <item x="335"/>
        <item x="662"/>
        <item x="66"/>
        <item x="548"/>
        <item x="536"/>
        <item x="235"/>
        <item x="314"/>
        <item x="748"/>
        <item x="589"/>
        <item x="986"/>
        <item x="643"/>
        <item x="531"/>
        <item x="308"/>
        <item x="309"/>
        <item x="647"/>
        <item x="251"/>
        <item x="902"/>
        <item x="907"/>
        <item x="738"/>
        <item x="592"/>
        <item x="195"/>
        <item x="7"/>
        <item x="411"/>
        <item x="766"/>
        <item x="990"/>
        <item x="610"/>
        <item x="735"/>
        <item x="141"/>
        <item x="558"/>
        <item x="917"/>
        <item x="542"/>
        <item x="521"/>
        <item x="350"/>
        <item x="912"/>
        <item x="413"/>
        <item x="395"/>
        <item x="135"/>
        <item x="181"/>
        <item x="184"/>
        <item x="501"/>
        <item x="64"/>
        <item x="878"/>
        <item x="189"/>
        <item x="187"/>
        <item x="947"/>
        <item x="283"/>
        <item x="809"/>
        <item x="300"/>
        <item x="910"/>
        <item x="821"/>
        <item x="708"/>
        <item x="52"/>
        <item x="807"/>
        <item x="398"/>
        <item x="151"/>
        <item x="369"/>
        <item x="399"/>
        <item x="840"/>
        <item x="284"/>
        <item x="870"/>
        <item x="28"/>
        <item x="421"/>
        <item x="201"/>
        <item x="983"/>
        <item x="351"/>
        <item x="165"/>
        <item x="828"/>
        <item x="29"/>
        <item x="396"/>
        <item x="37"/>
        <item x="911"/>
        <item x="790"/>
        <item x="980"/>
        <item x="677"/>
        <item x="833"/>
        <item x="832"/>
        <item x="230"/>
        <item x="518"/>
        <item x="375"/>
        <item x="862"/>
        <item x="768"/>
        <item x="636"/>
        <item x="928"/>
        <item x="927"/>
        <item x="827"/>
        <item x="272"/>
        <item x="523"/>
        <item x="702"/>
        <item x="567"/>
        <item x="721"/>
        <item x="941"/>
        <item x="690"/>
        <item x="246"/>
        <item x="105"/>
        <item x="885"/>
        <item x="582"/>
        <item x="969"/>
        <item x="474"/>
        <item x="751"/>
        <item x="864"/>
        <item x="958"/>
        <item x="525"/>
        <item x="41"/>
        <item x="252"/>
        <item x="715"/>
        <item x="868"/>
        <item x="481"/>
        <item x="247"/>
        <item x="466"/>
        <item x="584"/>
        <item x="597"/>
        <item x="574"/>
        <item x="672"/>
        <item x="658"/>
        <item x="844"/>
        <item x="904"/>
        <item x="259"/>
        <item x="937"/>
        <item x="47"/>
        <item x="355"/>
        <item x="882"/>
        <item x="726"/>
        <item x="701"/>
        <item x="253"/>
        <item x="198"/>
        <item x="328"/>
        <item x="641"/>
        <item x="176"/>
        <item x="379"/>
        <item x="622"/>
        <item x="293"/>
        <item x="377"/>
        <item x="435"/>
        <item x="490"/>
        <item x="639"/>
        <item x="70"/>
        <item x="728"/>
        <item x="14"/>
        <item x="193"/>
        <item x="565"/>
        <item x="594"/>
        <item x="115"/>
        <item x="651"/>
        <item x="323"/>
        <item x="282"/>
        <item x="391"/>
        <item x="341"/>
        <item x="84"/>
        <item x="638"/>
        <item x="557"/>
        <item x="535"/>
        <item x="587"/>
        <item x="56"/>
        <item x="692"/>
        <item x="797"/>
        <item x="866"/>
        <item x="107"/>
        <item x="787"/>
        <item x="429"/>
        <item x="909"/>
        <item x="437"/>
        <item x="44"/>
        <item x="10"/>
        <item x="192"/>
        <item x="618"/>
        <item x="86"/>
        <item x="650"/>
        <item x="632"/>
        <item x="484"/>
        <item x="254"/>
        <item x="924"/>
        <item x="826"/>
        <item x="75"/>
        <item x="363"/>
        <item x="654"/>
        <item x="433"/>
        <item x="485"/>
        <item x="294"/>
        <item x="162"/>
        <item x="324"/>
        <item x="128"/>
        <item x="340"/>
        <item x="0"/>
        <item x="664"/>
        <item x="894"/>
        <item x="685"/>
        <item x="619"/>
        <item x="415"/>
        <item x="440"/>
        <item x="203"/>
        <item x="843"/>
        <item x="511"/>
        <item x="645"/>
        <item x="653"/>
        <item x="936"/>
        <item x="596"/>
        <item x="929"/>
        <item x="130"/>
        <item x="327"/>
        <item x="487"/>
        <item x="202"/>
        <item x="370"/>
        <item x="775"/>
        <item x="81"/>
        <item x="121"/>
        <item x="239"/>
        <item x="277"/>
        <item x="326"/>
        <item x="908"/>
        <item x="888"/>
        <item x="186"/>
        <item x="791"/>
        <item x="455"/>
        <item x="601"/>
        <item x="981"/>
        <item x="332"/>
        <item x="264"/>
        <item x="91"/>
        <item x="240"/>
        <item x="625"/>
        <item x="950"/>
        <item x="281"/>
        <item x="680"/>
        <item x="479"/>
        <item x="684"/>
        <item x="302"/>
        <item x="494"/>
        <item x="450"/>
        <item x="215"/>
        <item x="598"/>
        <item x="930"/>
        <item x="953"/>
        <item x="519"/>
        <item x="57"/>
        <item x="297"/>
        <item x="591"/>
        <item x="126"/>
        <item x="603"/>
        <item x="110"/>
        <item x="630"/>
        <item x="382"/>
        <item x="205"/>
        <item x="764"/>
        <item x="188"/>
        <item x="53"/>
        <item x="681"/>
        <item x="604"/>
        <item x="966"/>
        <item x="961"/>
        <item x="117"/>
        <item x="233"/>
        <item x="338"/>
        <item x="753"/>
        <item x="847"/>
        <item x="289"/>
        <item x="265"/>
        <item x="292"/>
        <item x="724"/>
        <item x="385"/>
        <item x="659"/>
        <item x="404"/>
        <item x="345"/>
        <item x="296"/>
        <item x="686"/>
        <item x="786"/>
        <item x="922"/>
        <item x="226"/>
        <item x="798"/>
        <item x="483"/>
        <item x="62"/>
        <item x="51"/>
        <item x="103"/>
        <item x="796"/>
        <item x="426"/>
        <item x="861"/>
        <item x="674"/>
        <item x="145"/>
        <item x="581"/>
        <item x="22"/>
        <item x="285"/>
        <item x="381"/>
        <item x="920"/>
        <item x="170"/>
        <item x="74"/>
        <item x="30"/>
        <item x="935"/>
        <item x="555"/>
        <item x="238"/>
        <item x="727"/>
        <item x="298"/>
        <item x="299"/>
        <item x="960"/>
        <item x="453"/>
        <item x="356"/>
        <item x="114"/>
        <item x="563"/>
        <item x="754"/>
        <item x="506"/>
        <item x="515"/>
        <item x="526"/>
        <item x="344"/>
        <item x="670"/>
        <item x="532"/>
        <item x="39"/>
        <item x="540"/>
        <item x="673"/>
        <item x="803"/>
        <item x="815"/>
        <item x="407"/>
        <item x="667"/>
        <item x="365"/>
        <item x="134"/>
        <item x="132"/>
        <item x="153"/>
        <item x="810"/>
        <item x="109"/>
        <item x="566"/>
        <item x="956"/>
        <item x="180"/>
        <item x="48"/>
        <item x="329"/>
        <item x="431"/>
        <item x="834"/>
        <item x="711"/>
        <item x="608"/>
        <item x="740"/>
        <item x="575"/>
        <item x="744"/>
        <item x="59"/>
        <item x="679"/>
        <item x="54"/>
        <item x="533"/>
        <item x="984"/>
        <item x="590"/>
        <item x="668"/>
        <item x="993"/>
        <item x="383"/>
        <item x="576"/>
        <item x="488"/>
        <item x="263"/>
        <item x="449"/>
        <item x="919"/>
        <item x="318"/>
        <item x="739"/>
        <item x="588"/>
        <item x="504"/>
        <item x="851"/>
        <item x="149"/>
        <item x="663"/>
        <item x="349"/>
        <item x="835"/>
        <item x="606"/>
        <item x="734"/>
        <item x="286"/>
        <item x="354"/>
        <item x="287"/>
        <item x="152"/>
        <item x="987"/>
        <item x="779"/>
        <item x="210"/>
        <item x="234"/>
        <item x="901"/>
        <item x="270"/>
        <item x="652"/>
        <item x="50"/>
        <item x="892"/>
        <item x="660"/>
        <item x="889"/>
        <item x="722"/>
        <item x="841"/>
        <item x="423"/>
        <item x="714"/>
        <item x="232"/>
        <item x="973"/>
        <item x="325"/>
        <item x="906"/>
        <item x="273"/>
        <item x="360"/>
        <item x="3"/>
        <item x="858"/>
        <item x="262"/>
        <item x="824"/>
        <item x="517"/>
        <item x="852"/>
        <item x="899"/>
        <item x="788"/>
        <item x="848"/>
        <item x="649"/>
        <item x="883"/>
        <item x="43"/>
        <item x="15"/>
        <item x="694"/>
        <item x="211"/>
        <item x="417"/>
        <item x="157"/>
        <item x="94"/>
        <item x="420"/>
        <item x="469"/>
        <item x="747"/>
        <item x="71"/>
        <item x="689"/>
        <item x="311"/>
        <item x="342"/>
        <item x="245"/>
        <item x="755"/>
        <item x="208"/>
        <item x="408"/>
        <item x="644"/>
        <item x="401"/>
        <item x="414"/>
        <item x="209"/>
        <item x="634"/>
        <item x="9"/>
        <item x="605"/>
        <item x="333"/>
        <item x="218"/>
        <item x="678"/>
        <item x="946"/>
        <item x="352"/>
        <item x="444"/>
        <item x="196"/>
        <item x="224"/>
        <item x="217"/>
        <item x="11"/>
        <item x="949"/>
        <item x="593"/>
        <item x="872"/>
        <item x="926"/>
        <item x="428"/>
        <item x="316"/>
        <item x="737"/>
        <item x="89"/>
        <item x="131"/>
        <item x="358"/>
        <item x="305"/>
        <item x="528"/>
        <item x="514"/>
        <item x="669"/>
        <item x="849"/>
        <item x="538"/>
        <item x="113"/>
        <item x="133"/>
        <item x="933"/>
        <item x="400"/>
        <item x="280"/>
        <item x="150"/>
        <item x="278"/>
        <item x="585"/>
        <item x="21"/>
        <item x="873"/>
        <item x="745"/>
        <item x="572"/>
        <item x="16"/>
        <item x="73"/>
        <item x="386"/>
        <item x="913"/>
        <item x="550"/>
        <item x="90"/>
        <item x="770"/>
        <item x="319"/>
        <item x="478"/>
        <item x="167"/>
        <item x="183"/>
        <item x="442"/>
        <item x="213"/>
        <item x="512"/>
        <item x="120"/>
        <item x="61"/>
        <item x="963"/>
        <item x="570"/>
        <item x="191"/>
        <item x="881"/>
        <item x="40"/>
        <item x="839"/>
        <item x="761"/>
        <item x="397"/>
        <item x="691"/>
        <item x="178"/>
        <item x="159"/>
        <item x="124"/>
        <item x="495"/>
        <item x="42"/>
        <item x="945"/>
        <item x="914"/>
        <item x="710"/>
        <item x="836"/>
        <item x="547"/>
        <item x="98"/>
        <item x="621"/>
        <item x="17"/>
        <item x="427"/>
        <item x="185"/>
        <item x="749"/>
        <item x="793"/>
        <item x="249"/>
        <item x="794"/>
        <item x="628"/>
        <item x="693"/>
        <item x="757"/>
        <item x="719"/>
        <item x="771"/>
        <item x="561"/>
        <item x="93"/>
        <item x="83"/>
        <item x="290"/>
        <item x="850"/>
        <item x="19"/>
        <item x="631"/>
        <item x="276"/>
        <item x="143"/>
        <item x="23"/>
        <item x="825"/>
        <item x="197"/>
        <item x="642"/>
        <item x="389"/>
        <item x="577"/>
        <item x="967"/>
        <item x="573"/>
        <item x="315"/>
        <item x="460"/>
        <item x="948"/>
        <item x="785"/>
        <item x="49"/>
        <item x="530"/>
        <item x="372"/>
        <item x="434"/>
        <item x="633"/>
        <item x="214"/>
        <item x="137"/>
        <item x="985"/>
        <item x="808"/>
        <item x="586"/>
        <item x="900"/>
        <item x="869"/>
        <item x="362"/>
        <item x="304"/>
        <item x="227"/>
        <item x="463"/>
        <item x="96"/>
        <item x="731"/>
        <item x="366"/>
        <item x="915"/>
        <item x="812"/>
        <item x="457"/>
        <item x="934"/>
        <item x="27"/>
        <item x="155"/>
        <item x="136"/>
        <item x="801"/>
        <item x="13"/>
        <item x="931"/>
        <item x="271"/>
        <item x="36"/>
        <item x="439"/>
        <item x="412"/>
        <item x="763"/>
        <item x="962"/>
        <item x="279"/>
        <item x="977"/>
        <item x="160"/>
        <item x="957"/>
        <item x="476"/>
        <item x="161"/>
        <item x="762"/>
        <item x="543"/>
        <item x="257"/>
        <item x="718"/>
        <item x="769"/>
        <item x="499"/>
        <item x="473"/>
        <item x="544"/>
        <item x="123"/>
        <item x="216"/>
        <item x="458"/>
        <item x="406"/>
        <item x="219"/>
        <item x="752"/>
        <item x="513"/>
        <item x="322"/>
        <item x="970"/>
        <item x="896"/>
        <item x="199"/>
        <item x="24"/>
        <item x="730"/>
        <item x="76"/>
        <item x="274"/>
        <item x="409"/>
        <item x="228"/>
        <item x="623"/>
        <item x="119"/>
        <item x="489"/>
        <item x="554"/>
        <item x="648"/>
        <item x="486"/>
        <item x="97"/>
        <item x="863"/>
        <item x="855"/>
        <item x="310"/>
        <item x="472"/>
        <item x="974"/>
        <item x="425"/>
        <item x="767"/>
        <item x="122"/>
        <item x="295"/>
        <item x="339"/>
        <item x="85"/>
        <item x="158"/>
        <item x="72"/>
        <item x="599"/>
        <item x="241"/>
        <item x="583"/>
        <item x="925"/>
        <item x="580"/>
        <item x="705"/>
        <item x="394"/>
        <item x="459"/>
        <item x="462"/>
        <item x="508"/>
        <item x="58"/>
        <item x="275"/>
        <item x="99"/>
        <item x="267"/>
        <item x="60"/>
        <item x="545"/>
        <item x="116"/>
        <item x="617"/>
        <item x="140"/>
        <item x="666"/>
        <item x="475"/>
        <item x="546"/>
        <item x="696"/>
        <item x="607"/>
        <item x="959"/>
        <item x="811"/>
        <item x="891"/>
        <item x="750"/>
        <item x="480"/>
        <item x="364"/>
        <item x="822"/>
        <item x="846"/>
        <item x="373"/>
        <item x="982"/>
        <item x="418"/>
        <item x="348"/>
        <item x="774"/>
        <item x="92"/>
        <item x="454"/>
        <item x="612"/>
        <item x="492"/>
        <item x="656"/>
        <item x="627"/>
        <item x="549"/>
        <item x="448"/>
        <item x="497"/>
        <item x="965"/>
        <item x="898"/>
        <item x="707"/>
        <item x="242"/>
        <item x="978"/>
        <item x="82"/>
        <item x="723"/>
        <item x="12"/>
        <item x="173"/>
        <item x="438"/>
        <item x="118"/>
        <item x="800"/>
        <item x="578"/>
        <item x="975"/>
        <item x="229"/>
        <item x="236"/>
        <item x="306"/>
        <item x="69"/>
        <item x="884"/>
        <item x="95"/>
        <item x="312"/>
        <item x="776"/>
        <item x="31"/>
        <item x="871"/>
        <item x="614"/>
        <item x="26"/>
        <item x="942"/>
        <item x="361"/>
        <item x="393"/>
        <item x="944"/>
        <item x="831"/>
        <item x="720"/>
        <item x="148"/>
        <item x="422"/>
        <item x="759"/>
        <item x="932"/>
        <item x="687"/>
        <item x="446"/>
        <item x="331"/>
        <item x="436"/>
        <item x="865"/>
        <item x="765"/>
        <item x="33"/>
        <item x="177"/>
        <item x="343"/>
        <item x="646"/>
        <item x="505"/>
        <item x="138"/>
        <item x="845"/>
        <item x="695"/>
        <item x="713"/>
        <item x="465"/>
        <item x="756"/>
        <item x="709"/>
        <item x="248"/>
        <item x="46"/>
        <item x="874"/>
        <item x="559"/>
        <item x="510"/>
        <item x="624"/>
        <item x="65"/>
        <item x="256"/>
        <item x="376"/>
        <item x="994"/>
        <item x="498"/>
        <item x="87"/>
        <item x="35"/>
        <item x="220"/>
        <item x="626"/>
        <item x="445"/>
        <item x="887"/>
        <item x="629"/>
        <item x="706"/>
        <item x="200"/>
        <item x="147"/>
        <item x="392"/>
        <item x="102"/>
        <item x="5"/>
        <item x="156"/>
        <item x="742"/>
        <item x="703"/>
        <item x="168"/>
        <item x="859"/>
        <item x="509"/>
        <item x="467"/>
        <item x="804"/>
        <item x="206"/>
        <item x="918"/>
        <item x="164"/>
        <item x="854"/>
        <item x="529"/>
        <item x="266"/>
        <item x="880"/>
        <item x="838"/>
        <item x="384"/>
        <item x="780"/>
        <item x="615"/>
        <item x="452"/>
        <item x="971"/>
        <item x="988"/>
        <item x="620"/>
        <item x="405"/>
        <item x="402"/>
        <item x="552"/>
        <item x="991"/>
        <item x="111"/>
        <item x="657"/>
        <item x="443"/>
        <item x="291"/>
        <item x="243"/>
        <item x="493"/>
        <item x="4"/>
        <item x="665"/>
        <item x="45"/>
        <item x="204"/>
        <item x="347"/>
        <item x="534"/>
        <item x="562"/>
        <item x="938"/>
        <item x="80"/>
        <item x="419"/>
        <item x="778"/>
        <item x="63"/>
        <item x="20"/>
        <item x="470"/>
        <item x="829"/>
        <item x="424"/>
        <item x="2"/>
        <item x="655"/>
        <item x="609"/>
        <item x="820"/>
        <item x="729"/>
        <item x="353"/>
        <item x="221"/>
        <item x="976"/>
        <item x="68"/>
        <item x="8"/>
        <item x="179"/>
        <item x="537"/>
        <item x="837"/>
        <item x="814"/>
        <item x="968"/>
        <item x="782"/>
        <item x="856"/>
        <item x="743"/>
        <item x="313"/>
        <item x="303"/>
        <item x="792"/>
        <item x="100"/>
        <item x="916"/>
        <item x="430"/>
        <item x="255"/>
        <item x="700"/>
        <item x="129"/>
        <item x="491"/>
        <item x="321"/>
        <item x="387"/>
        <item x="676"/>
        <item x="334"/>
        <item x="972"/>
        <item x="390"/>
        <item x="244"/>
        <item x="819"/>
        <item x="237"/>
        <item x="595"/>
        <item x="231"/>
        <item x="877"/>
        <item x="613"/>
        <item x="524"/>
        <item x="733"/>
        <item x="698"/>
        <item x="477"/>
        <item x="127"/>
        <item x="895"/>
        <item x="736"/>
        <item x="456"/>
        <item x="368"/>
        <item x="464"/>
        <item x="553"/>
        <item x="258"/>
        <item x="886"/>
        <item x="890"/>
        <item x="451"/>
        <item x="568"/>
        <item x="823"/>
        <item x="923"/>
        <item x="261"/>
        <item x="471"/>
        <item x="539"/>
        <item x="447"/>
        <item x="717"/>
        <item x="799"/>
        <item x="441"/>
        <item x="795"/>
        <item x="857"/>
        <item x="806"/>
        <item x="671"/>
        <item x="954"/>
        <item x="142"/>
        <item x="760"/>
        <item x="661"/>
        <item x="212"/>
        <item x="461"/>
        <item x="777"/>
        <item x="388"/>
        <item x="602"/>
        <item x="88"/>
        <item x="741"/>
        <item x="104"/>
        <item x="500"/>
        <item x="522"/>
        <item x="194"/>
        <item x="288"/>
        <item x="146"/>
        <item x="600"/>
        <item x="207"/>
        <item x="560"/>
        <item x="172"/>
        <item x="712"/>
        <item x="482"/>
        <item x="921"/>
        <item x="154"/>
        <item x="816"/>
        <item x="842"/>
        <item x="875"/>
        <item x="268"/>
        <item x="697"/>
        <item x="979"/>
        <item x="169"/>
        <item x="516"/>
        <item x="503"/>
        <item x="992"/>
        <item x="569"/>
        <item x="403"/>
        <item x="964"/>
        <item x="556"/>
        <item x="564"/>
        <item x="783"/>
        <item x="943"/>
        <item x="789"/>
        <item x="307"/>
        <item x="758"/>
        <item x="166"/>
        <item x="860"/>
        <item x="175"/>
        <item x="336"/>
        <item x="32"/>
        <item x="139"/>
        <item x="34"/>
        <item x="805"/>
        <item x="772"/>
        <item x="410"/>
        <item x="55"/>
        <item x="337"/>
        <item x="640"/>
        <item x="541"/>
        <item x="817"/>
        <item x="951"/>
        <item x="374"/>
        <item x="995"/>
        <item x="78"/>
        <item x="637"/>
        <item x="716"/>
        <item x="704"/>
        <item x="182"/>
        <item x="989"/>
        <item x="330"/>
        <item x="101"/>
        <item x="222"/>
        <item x="520"/>
        <item x="25"/>
        <item x="496"/>
        <item x="77"/>
        <item x="571"/>
        <item x="108"/>
        <item x="250"/>
        <item x="163"/>
        <item x="416"/>
        <item x="903"/>
        <item x="725"/>
        <item x="818"/>
        <item x="940"/>
        <item x="223"/>
        <item x="746"/>
        <item x="893"/>
        <item x="867"/>
        <item x="79"/>
        <item x="853"/>
        <item x="732"/>
        <item x="371"/>
        <item x="802"/>
        <item x="527"/>
        <item x="112"/>
        <item x="357"/>
        <item x="174"/>
        <item t="avg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pair_cos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6FC2F-9D3D-4558-8536-0B7C0E924138}" name="PivotTable1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id">
  <location ref="H70:I171" firstHeaderRow="1" firstDataRow="1" firstDataCol="1"/>
  <pivotFields count="9">
    <pivotField showAll="0"/>
    <pivotField axis="axisRow" showAll="0" sortType="descending">
      <items count="101">
        <item x="61"/>
        <item x="47"/>
        <item x="25"/>
        <item x="75"/>
        <item x="44"/>
        <item x="1"/>
        <item x="40"/>
        <item x="59"/>
        <item x="39"/>
        <item x="3"/>
        <item x="50"/>
        <item x="31"/>
        <item x="21"/>
        <item x="4"/>
        <item x="0"/>
        <item x="94"/>
        <item x="5"/>
        <item x="78"/>
        <item x="93"/>
        <item x="9"/>
        <item x="76"/>
        <item x="48"/>
        <item x="84"/>
        <item x="34"/>
        <item x="26"/>
        <item x="97"/>
        <item x="60"/>
        <item x="17"/>
        <item x="42"/>
        <item x="8"/>
        <item x="49"/>
        <item x="96"/>
        <item x="20"/>
        <item x="74"/>
        <item x="52"/>
        <item x="36"/>
        <item x="90"/>
        <item x="83"/>
        <item x="22"/>
        <item x="95"/>
        <item x="70"/>
        <item x="24"/>
        <item x="45"/>
        <item x="63"/>
        <item x="10"/>
        <item x="92"/>
        <item x="87"/>
        <item x="28"/>
        <item x="33"/>
        <item x="98"/>
        <item x="30"/>
        <item x="46"/>
        <item x="15"/>
        <item x="88"/>
        <item x="99"/>
        <item x="58"/>
        <item x="89"/>
        <item x="27"/>
        <item x="82"/>
        <item x="23"/>
        <item x="69"/>
        <item x="41"/>
        <item x="16"/>
        <item x="35"/>
        <item x="38"/>
        <item x="65"/>
        <item x="19"/>
        <item x="29"/>
        <item x="53"/>
        <item x="55"/>
        <item x="51"/>
        <item x="13"/>
        <item x="43"/>
        <item x="14"/>
        <item x="54"/>
        <item x="79"/>
        <item x="72"/>
        <item x="80"/>
        <item x="37"/>
        <item x="67"/>
        <item x="18"/>
        <item x="81"/>
        <item x="64"/>
        <item x="2"/>
        <item x="6"/>
        <item x="11"/>
        <item x="12"/>
        <item x="86"/>
        <item x="85"/>
        <item x="7"/>
        <item x="73"/>
        <item x="32"/>
        <item x="57"/>
        <item x="91"/>
        <item x="77"/>
        <item x="71"/>
        <item x="62"/>
        <item x="56"/>
        <item x="66"/>
        <item x="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dataField="1" showAll="0"/>
    <pivotField showAll="0"/>
  </pivotFields>
  <rowFields count="1">
    <field x="1"/>
  </rowFields>
  <rowItems count="101">
    <i>
      <x v="80"/>
    </i>
    <i>
      <x v="9"/>
    </i>
    <i>
      <x v="55"/>
    </i>
    <i>
      <x v="44"/>
    </i>
    <i>
      <x v="62"/>
    </i>
    <i>
      <x v="5"/>
    </i>
    <i>
      <x v="73"/>
    </i>
    <i>
      <x v="48"/>
    </i>
    <i>
      <x v="96"/>
    </i>
    <i>
      <x v="76"/>
    </i>
    <i>
      <x v="91"/>
    </i>
    <i>
      <x v="42"/>
    </i>
    <i>
      <x v="78"/>
    </i>
    <i>
      <x v="16"/>
    </i>
    <i>
      <x v="85"/>
    </i>
    <i>
      <x v="66"/>
    </i>
    <i>
      <x v="50"/>
    </i>
    <i>
      <x v="26"/>
    </i>
    <i>
      <x/>
    </i>
    <i>
      <x v="11"/>
    </i>
    <i>
      <x v="45"/>
    </i>
    <i>
      <x v="6"/>
    </i>
    <i>
      <x v="3"/>
    </i>
    <i>
      <x v="59"/>
    </i>
    <i>
      <x v="7"/>
    </i>
    <i>
      <x v="30"/>
    </i>
    <i>
      <x v="46"/>
    </i>
    <i>
      <x v="86"/>
    </i>
    <i>
      <x v="94"/>
    </i>
    <i>
      <x v="57"/>
    </i>
    <i>
      <x v="60"/>
    </i>
    <i>
      <x v="95"/>
    </i>
    <i>
      <x v="68"/>
    </i>
    <i>
      <x v="4"/>
    </i>
    <i>
      <x v="65"/>
    </i>
    <i>
      <x v="34"/>
    </i>
    <i>
      <x v="40"/>
    </i>
    <i>
      <x v="13"/>
    </i>
    <i>
      <x v="75"/>
    </i>
    <i>
      <x v="98"/>
    </i>
    <i>
      <x v="63"/>
    </i>
    <i>
      <x v="74"/>
    </i>
    <i>
      <x v="32"/>
    </i>
    <i>
      <x v="27"/>
    </i>
    <i>
      <x v="64"/>
    </i>
    <i>
      <x v="25"/>
    </i>
    <i>
      <x v="38"/>
    </i>
    <i>
      <x v="29"/>
    </i>
    <i>
      <x v="82"/>
    </i>
    <i>
      <x v="35"/>
    </i>
    <i>
      <x v="87"/>
    </i>
    <i>
      <x v="12"/>
    </i>
    <i>
      <x v="36"/>
    </i>
    <i>
      <x v="89"/>
    </i>
    <i>
      <x v="97"/>
    </i>
    <i>
      <x v="47"/>
    </i>
    <i>
      <x v="71"/>
    </i>
    <i>
      <x v="8"/>
    </i>
    <i>
      <x v="72"/>
    </i>
    <i>
      <x v="53"/>
    </i>
    <i>
      <x v="99"/>
    </i>
    <i>
      <x v="43"/>
    </i>
    <i>
      <x v="67"/>
    </i>
    <i>
      <x v="22"/>
    </i>
    <i>
      <x v="14"/>
    </i>
    <i>
      <x v="69"/>
    </i>
    <i>
      <x v="10"/>
    </i>
    <i>
      <x v="37"/>
    </i>
    <i>
      <x v="19"/>
    </i>
    <i>
      <x v="21"/>
    </i>
    <i>
      <x v="15"/>
    </i>
    <i>
      <x v="93"/>
    </i>
    <i>
      <x v="24"/>
    </i>
    <i>
      <x v="92"/>
    </i>
    <i>
      <x v="83"/>
    </i>
    <i>
      <x v="81"/>
    </i>
    <i>
      <x v="23"/>
    </i>
    <i>
      <x v="79"/>
    </i>
    <i>
      <x v="61"/>
    </i>
    <i>
      <x v="52"/>
    </i>
    <i>
      <x v="1"/>
    </i>
    <i>
      <x v="2"/>
    </i>
    <i>
      <x v="56"/>
    </i>
    <i>
      <x v="70"/>
    </i>
    <i>
      <x v="77"/>
    </i>
    <i>
      <x v="28"/>
    </i>
    <i>
      <x v="31"/>
    </i>
    <i>
      <x v="90"/>
    </i>
    <i>
      <x v="39"/>
    </i>
    <i>
      <x v="41"/>
    </i>
    <i>
      <x v="58"/>
    </i>
    <i>
      <x v="88"/>
    </i>
    <i>
      <x v="49"/>
    </i>
    <i>
      <x v="20"/>
    </i>
    <i>
      <x v="33"/>
    </i>
    <i>
      <x v="18"/>
    </i>
    <i>
      <x v="17"/>
    </i>
    <i>
      <x v="51"/>
    </i>
    <i>
      <x v="84"/>
    </i>
    <i>
      <x v="54"/>
    </i>
    <i t="grand">
      <x/>
    </i>
  </rowItems>
  <colItems count="1">
    <i/>
  </colItems>
  <dataFields count="1">
    <dataField name="Sum of repair_cos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6F7C7-2042-4468-ABD4-500C13D10074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verity">
  <location ref="H42:O47" firstHeaderRow="1" firstDataRow="2" firstDataCol="1"/>
  <pivotFields count="9">
    <pivotField showAll="0"/>
    <pivotField showAll="0"/>
    <pivotField showAll="0"/>
    <pivotField numFmtId="14"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7">
        <item x="1"/>
        <item x="2"/>
        <item x="5"/>
        <item x="0"/>
        <item x="3"/>
        <item x="4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severit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37872-AA08-487E-8F97-324DA7AC2D8E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verity">
  <location ref="H52:L57" firstHeaderRow="1" firstDataRow="2" firstDataCol="1"/>
  <pivotFields count="9">
    <pivotField showAll="0"/>
    <pivotField showAll="0"/>
    <pivotField showAll="0"/>
    <pivotField numFmtId="14" showAll="0"/>
    <pivotField showAll="0"/>
    <pivotField axis="axisRow" dataField="1" showAll="0">
      <items count="4">
        <item x="1"/>
        <item x="0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>
      <items count="997">
        <item x="171"/>
        <item x="699"/>
        <item x="830"/>
        <item x="317"/>
        <item x="190"/>
        <item x="952"/>
        <item x="468"/>
        <item x="955"/>
        <item x="579"/>
        <item x="260"/>
        <item x="106"/>
        <item x="301"/>
        <item x="378"/>
        <item x="876"/>
        <item x="688"/>
        <item x="939"/>
        <item x="879"/>
        <item x="773"/>
        <item x="611"/>
        <item x="616"/>
        <item x="125"/>
        <item x="346"/>
        <item x="144"/>
        <item x="1"/>
        <item x="38"/>
        <item x="507"/>
        <item x="682"/>
        <item x="813"/>
        <item x="67"/>
        <item x="380"/>
        <item x="635"/>
        <item x="905"/>
        <item x="6"/>
        <item x="675"/>
        <item x="432"/>
        <item x="18"/>
        <item x="551"/>
        <item x="781"/>
        <item x="784"/>
        <item x="683"/>
        <item x="225"/>
        <item x="367"/>
        <item x="502"/>
        <item x="897"/>
        <item x="359"/>
        <item x="320"/>
        <item x="269"/>
        <item x="335"/>
        <item x="662"/>
        <item x="66"/>
        <item x="548"/>
        <item x="536"/>
        <item x="235"/>
        <item x="314"/>
        <item x="748"/>
        <item x="589"/>
        <item x="986"/>
        <item x="643"/>
        <item x="531"/>
        <item x="308"/>
        <item x="309"/>
        <item x="647"/>
        <item x="251"/>
        <item x="902"/>
        <item x="907"/>
        <item x="738"/>
        <item x="592"/>
        <item x="195"/>
        <item x="7"/>
        <item x="411"/>
        <item x="766"/>
        <item x="990"/>
        <item x="610"/>
        <item x="735"/>
        <item x="141"/>
        <item x="558"/>
        <item x="917"/>
        <item x="542"/>
        <item x="521"/>
        <item x="350"/>
        <item x="912"/>
        <item x="413"/>
        <item x="395"/>
        <item x="135"/>
        <item x="181"/>
        <item x="184"/>
        <item x="501"/>
        <item x="64"/>
        <item x="878"/>
        <item x="189"/>
        <item x="187"/>
        <item x="947"/>
        <item x="283"/>
        <item x="809"/>
        <item x="300"/>
        <item x="910"/>
        <item x="821"/>
        <item x="708"/>
        <item x="52"/>
        <item x="807"/>
        <item x="398"/>
        <item x="151"/>
        <item x="369"/>
        <item x="399"/>
        <item x="840"/>
        <item x="284"/>
        <item x="870"/>
        <item x="28"/>
        <item x="421"/>
        <item x="201"/>
        <item x="983"/>
        <item x="351"/>
        <item x="165"/>
        <item x="828"/>
        <item x="29"/>
        <item x="396"/>
        <item x="37"/>
        <item x="911"/>
        <item x="790"/>
        <item x="980"/>
        <item x="677"/>
        <item x="833"/>
        <item x="832"/>
        <item x="230"/>
        <item x="518"/>
        <item x="375"/>
        <item x="862"/>
        <item x="768"/>
        <item x="636"/>
        <item x="928"/>
        <item x="927"/>
        <item x="827"/>
        <item x="272"/>
        <item x="523"/>
        <item x="702"/>
        <item x="567"/>
        <item x="721"/>
        <item x="941"/>
        <item x="690"/>
        <item x="246"/>
        <item x="105"/>
        <item x="885"/>
        <item x="582"/>
        <item x="969"/>
        <item x="474"/>
        <item x="751"/>
        <item x="864"/>
        <item x="958"/>
        <item x="525"/>
        <item x="41"/>
        <item x="252"/>
        <item x="715"/>
        <item x="868"/>
        <item x="481"/>
        <item x="247"/>
        <item x="466"/>
        <item x="584"/>
        <item x="597"/>
        <item x="574"/>
        <item x="672"/>
        <item x="658"/>
        <item x="844"/>
        <item x="904"/>
        <item x="259"/>
        <item x="937"/>
        <item x="47"/>
        <item x="355"/>
        <item x="882"/>
        <item x="726"/>
        <item x="701"/>
        <item x="253"/>
        <item x="198"/>
        <item x="328"/>
        <item x="641"/>
        <item x="176"/>
        <item x="379"/>
        <item x="622"/>
        <item x="293"/>
        <item x="377"/>
        <item x="435"/>
        <item x="490"/>
        <item x="639"/>
        <item x="70"/>
        <item x="728"/>
        <item x="14"/>
        <item x="193"/>
        <item x="565"/>
        <item x="594"/>
        <item x="115"/>
        <item x="651"/>
        <item x="323"/>
        <item x="282"/>
        <item x="391"/>
        <item x="341"/>
        <item x="84"/>
        <item x="638"/>
        <item x="557"/>
        <item x="535"/>
        <item x="587"/>
        <item x="56"/>
        <item x="692"/>
        <item x="797"/>
        <item x="866"/>
        <item x="107"/>
        <item x="787"/>
        <item x="429"/>
        <item x="909"/>
        <item x="437"/>
        <item x="44"/>
        <item x="10"/>
        <item x="192"/>
        <item x="618"/>
        <item x="86"/>
        <item x="650"/>
        <item x="632"/>
        <item x="484"/>
        <item x="254"/>
        <item x="924"/>
        <item x="826"/>
        <item x="75"/>
        <item x="363"/>
        <item x="654"/>
        <item x="433"/>
        <item x="485"/>
        <item x="294"/>
        <item x="162"/>
        <item x="324"/>
        <item x="128"/>
        <item x="340"/>
        <item x="0"/>
        <item x="664"/>
        <item x="894"/>
        <item x="685"/>
        <item x="619"/>
        <item x="415"/>
        <item x="440"/>
        <item x="203"/>
        <item x="843"/>
        <item x="511"/>
        <item x="645"/>
        <item x="653"/>
        <item x="936"/>
        <item x="596"/>
        <item x="929"/>
        <item x="130"/>
        <item x="327"/>
        <item x="487"/>
        <item x="202"/>
        <item x="370"/>
        <item x="775"/>
        <item x="81"/>
        <item x="121"/>
        <item x="239"/>
        <item x="277"/>
        <item x="326"/>
        <item x="908"/>
        <item x="888"/>
        <item x="186"/>
        <item x="791"/>
        <item x="455"/>
        <item x="601"/>
        <item x="981"/>
        <item x="332"/>
        <item x="264"/>
        <item x="91"/>
        <item x="240"/>
        <item x="625"/>
        <item x="950"/>
        <item x="281"/>
        <item x="680"/>
        <item x="479"/>
        <item x="684"/>
        <item x="302"/>
        <item x="494"/>
        <item x="450"/>
        <item x="215"/>
        <item x="598"/>
        <item x="930"/>
        <item x="953"/>
        <item x="519"/>
        <item x="57"/>
        <item x="297"/>
        <item x="591"/>
        <item x="126"/>
        <item x="603"/>
        <item x="110"/>
        <item x="630"/>
        <item x="382"/>
        <item x="205"/>
        <item x="764"/>
        <item x="188"/>
        <item x="53"/>
        <item x="681"/>
        <item x="604"/>
        <item x="966"/>
        <item x="961"/>
        <item x="117"/>
        <item x="233"/>
        <item x="338"/>
        <item x="753"/>
        <item x="847"/>
        <item x="289"/>
        <item x="265"/>
        <item x="292"/>
        <item x="724"/>
        <item x="385"/>
        <item x="659"/>
        <item x="404"/>
        <item x="345"/>
        <item x="296"/>
        <item x="686"/>
        <item x="786"/>
        <item x="922"/>
        <item x="226"/>
        <item x="798"/>
        <item x="483"/>
        <item x="62"/>
        <item x="51"/>
        <item x="103"/>
        <item x="796"/>
        <item x="426"/>
        <item x="861"/>
        <item x="674"/>
        <item x="145"/>
        <item x="581"/>
        <item x="22"/>
        <item x="285"/>
        <item x="381"/>
        <item x="920"/>
        <item x="170"/>
        <item x="74"/>
        <item x="30"/>
        <item x="935"/>
        <item x="555"/>
        <item x="238"/>
        <item x="727"/>
        <item x="298"/>
        <item x="299"/>
        <item x="960"/>
        <item x="453"/>
        <item x="356"/>
        <item x="114"/>
        <item x="563"/>
        <item x="754"/>
        <item x="506"/>
        <item x="515"/>
        <item x="526"/>
        <item x="344"/>
        <item x="670"/>
        <item x="532"/>
        <item x="39"/>
        <item x="540"/>
        <item x="673"/>
        <item x="803"/>
        <item x="815"/>
        <item x="407"/>
        <item x="667"/>
        <item x="365"/>
        <item x="134"/>
        <item x="132"/>
        <item x="153"/>
        <item x="810"/>
        <item x="109"/>
        <item x="566"/>
        <item x="956"/>
        <item x="180"/>
        <item x="48"/>
        <item x="329"/>
        <item x="431"/>
        <item x="834"/>
        <item x="711"/>
        <item x="608"/>
        <item x="740"/>
        <item x="575"/>
        <item x="744"/>
        <item x="59"/>
        <item x="679"/>
        <item x="54"/>
        <item x="533"/>
        <item x="984"/>
        <item x="590"/>
        <item x="668"/>
        <item x="993"/>
        <item x="383"/>
        <item x="576"/>
        <item x="488"/>
        <item x="263"/>
        <item x="449"/>
        <item x="919"/>
        <item x="318"/>
        <item x="739"/>
        <item x="588"/>
        <item x="504"/>
        <item x="851"/>
        <item x="149"/>
        <item x="663"/>
        <item x="349"/>
        <item x="835"/>
        <item x="606"/>
        <item x="734"/>
        <item x="286"/>
        <item x="354"/>
        <item x="287"/>
        <item x="152"/>
        <item x="987"/>
        <item x="779"/>
        <item x="210"/>
        <item x="234"/>
        <item x="901"/>
        <item x="270"/>
        <item x="652"/>
        <item x="50"/>
        <item x="892"/>
        <item x="660"/>
        <item x="889"/>
        <item x="722"/>
        <item x="841"/>
        <item x="423"/>
        <item x="714"/>
        <item x="232"/>
        <item x="973"/>
        <item x="325"/>
        <item x="906"/>
        <item x="273"/>
        <item x="360"/>
        <item x="3"/>
        <item x="858"/>
        <item x="262"/>
        <item x="824"/>
        <item x="517"/>
        <item x="852"/>
        <item x="899"/>
        <item x="788"/>
        <item x="848"/>
        <item x="649"/>
        <item x="883"/>
        <item x="43"/>
        <item x="15"/>
        <item x="694"/>
        <item x="211"/>
        <item x="417"/>
        <item x="157"/>
        <item x="94"/>
        <item x="420"/>
        <item x="469"/>
        <item x="747"/>
        <item x="71"/>
        <item x="689"/>
        <item x="311"/>
        <item x="342"/>
        <item x="245"/>
        <item x="755"/>
        <item x="208"/>
        <item x="408"/>
        <item x="644"/>
        <item x="401"/>
        <item x="414"/>
        <item x="209"/>
        <item x="634"/>
        <item x="9"/>
        <item x="605"/>
        <item x="333"/>
        <item x="218"/>
        <item x="678"/>
        <item x="946"/>
        <item x="352"/>
        <item x="444"/>
        <item x="196"/>
        <item x="224"/>
        <item x="217"/>
        <item x="11"/>
        <item x="949"/>
        <item x="593"/>
        <item x="872"/>
        <item x="926"/>
        <item x="428"/>
        <item x="316"/>
        <item x="737"/>
        <item x="89"/>
        <item x="131"/>
        <item x="358"/>
        <item x="305"/>
        <item x="528"/>
        <item x="514"/>
        <item x="669"/>
        <item x="849"/>
        <item x="538"/>
        <item x="113"/>
        <item x="133"/>
        <item x="933"/>
        <item x="400"/>
        <item x="280"/>
        <item x="150"/>
        <item x="278"/>
        <item x="585"/>
        <item x="21"/>
        <item x="873"/>
        <item x="745"/>
        <item x="572"/>
        <item x="16"/>
        <item x="73"/>
        <item x="386"/>
        <item x="913"/>
        <item x="550"/>
        <item x="90"/>
        <item x="770"/>
        <item x="319"/>
        <item x="478"/>
        <item x="167"/>
        <item x="183"/>
        <item x="442"/>
        <item x="213"/>
        <item x="512"/>
        <item x="120"/>
        <item x="61"/>
        <item x="963"/>
        <item x="570"/>
        <item x="191"/>
        <item x="881"/>
        <item x="40"/>
        <item x="839"/>
        <item x="761"/>
        <item x="397"/>
        <item x="691"/>
        <item x="178"/>
        <item x="159"/>
        <item x="124"/>
        <item x="495"/>
        <item x="42"/>
        <item x="945"/>
        <item x="914"/>
        <item x="710"/>
        <item x="836"/>
        <item x="547"/>
        <item x="98"/>
        <item x="621"/>
        <item x="17"/>
        <item x="427"/>
        <item x="185"/>
        <item x="749"/>
        <item x="793"/>
        <item x="249"/>
        <item x="794"/>
        <item x="628"/>
        <item x="693"/>
        <item x="757"/>
        <item x="719"/>
        <item x="771"/>
        <item x="561"/>
        <item x="93"/>
        <item x="83"/>
        <item x="290"/>
        <item x="850"/>
        <item x="19"/>
        <item x="631"/>
        <item x="276"/>
        <item x="143"/>
        <item x="23"/>
        <item x="825"/>
        <item x="197"/>
        <item x="642"/>
        <item x="389"/>
        <item x="577"/>
        <item x="967"/>
        <item x="573"/>
        <item x="315"/>
        <item x="460"/>
        <item x="948"/>
        <item x="785"/>
        <item x="49"/>
        <item x="530"/>
        <item x="372"/>
        <item x="434"/>
        <item x="633"/>
        <item x="214"/>
        <item x="137"/>
        <item x="985"/>
        <item x="808"/>
        <item x="586"/>
        <item x="900"/>
        <item x="869"/>
        <item x="362"/>
        <item x="304"/>
        <item x="227"/>
        <item x="463"/>
        <item x="96"/>
        <item x="731"/>
        <item x="366"/>
        <item x="915"/>
        <item x="812"/>
        <item x="457"/>
        <item x="934"/>
        <item x="27"/>
        <item x="155"/>
        <item x="136"/>
        <item x="801"/>
        <item x="13"/>
        <item x="931"/>
        <item x="271"/>
        <item x="36"/>
        <item x="439"/>
        <item x="412"/>
        <item x="763"/>
        <item x="962"/>
        <item x="279"/>
        <item x="977"/>
        <item x="160"/>
        <item x="957"/>
        <item x="476"/>
        <item x="161"/>
        <item x="762"/>
        <item x="543"/>
        <item x="257"/>
        <item x="718"/>
        <item x="769"/>
        <item x="499"/>
        <item x="473"/>
        <item x="544"/>
        <item x="123"/>
        <item x="216"/>
        <item x="458"/>
        <item x="406"/>
        <item x="219"/>
        <item x="752"/>
        <item x="513"/>
        <item x="322"/>
        <item x="970"/>
        <item x="896"/>
        <item x="199"/>
        <item x="24"/>
        <item x="730"/>
        <item x="76"/>
        <item x="274"/>
        <item x="409"/>
        <item x="228"/>
        <item x="623"/>
        <item x="119"/>
        <item x="489"/>
        <item x="554"/>
        <item x="648"/>
        <item x="486"/>
        <item x="97"/>
        <item x="863"/>
        <item x="855"/>
        <item x="310"/>
        <item x="472"/>
        <item x="974"/>
        <item x="425"/>
        <item x="767"/>
        <item x="122"/>
        <item x="295"/>
        <item x="339"/>
        <item x="85"/>
        <item x="158"/>
        <item x="72"/>
        <item x="599"/>
        <item x="241"/>
        <item x="583"/>
        <item x="925"/>
        <item x="580"/>
        <item x="705"/>
        <item x="394"/>
        <item x="459"/>
        <item x="462"/>
        <item x="508"/>
        <item x="58"/>
        <item x="275"/>
        <item x="99"/>
        <item x="267"/>
        <item x="60"/>
        <item x="545"/>
        <item x="116"/>
        <item x="617"/>
        <item x="140"/>
        <item x="666"/>
        <item x="475"/>
        <item x="546"/>
        <item x="696"/>
        <item x="607"/>
        <item x="959"/>
        <item x="811"/>
        <item x="891"/>
        <item x="750"/>
        <item x="480"/>
        <item x="364"/>
        <item x="822"/>
        <item x="846"/>
        <item x="373"/>
        <item x="982"/>
        <item x="418"/>
        <item x="348"/>
        <item x="774"/>
        <item x="92"/>
        <item x="454"/>
        <item x="612"/>
        <item x="492"/>
        <item x="656"/>
        <item x="627"/>
        <item x="549"/>
        <item x="448"/>
        <item x="497"/>
        <item x="965"/>
        <item x="898"/>
        <item x="707"/>
        <item x="242"/>
        <item x="978"/>
        <item x="82"/>
        <item x="723"/>
        <item x="12"/>
        <item x="173"/>
        <item x="438"/>
        <item x="118"/>
        <item x="800"/>
        <item x="578"/>
        <item x="975"/>
        <item x="229"/>
        <item x="236"/>
        <item x="306"/>
        <item x="69"/>
        <item x="884"/>
        <item x="95"/>
        <item x="312"/>
        <item x="776"/>
        <item x="31"/>
        <item x="871"/>
        <item x="614"/>
        <item x="26"/>
        <item x="942"/>
        <item x="361"/>
        <item x="393"/>
        <item x="944"/>
        <item x="831"/>
        <item x="720"/>
        <item x="148"/>
        <item x="422"/>
        <item x="759"/>
        <item x="932"/>
        <item x="687"/>
        <item x="446"/>
        <item x="331"/>
        <item x="436"/>
        <item x="865"/>
        <item x="765"/>
        <item x="33"/>
        <item x="177"/>
        <item x="343"/>
        <item x="646"/>
        <item x="505"/>
        <item x="138"/>
        <item x="845"/>
        <item x="695"/>
        <item x="713"/>
        <item x="465"/>
        <item x="756"/>
        <item x="709"/>
        <item x="248"/>
        <item x="46"/>
        <item x="874"/>
        <item x="559"/>
        <item x="510"/>
        <item x="624"/>
        <item x="65"/>
        <item x="256"/>
        <item x="376"/>
        <item x="994"/>
        <item x="498"/>
        <item x="87"/>
        <item x="35"/>
        <item x="220"/>
        <item x="626"/>
        <item x="445"/>
        <item x="887"/>
        <item x="629"/>
        <item x="706"/>
        <item x="200"/>
        <item x="147"/>
        <item x="392"/>
        <item x="102"/>
        <item x="5"/>
        <item x="156"/>
        <item x="742"/>
        <item x="703"/>
        <item x="168"/>
        <item x="859"/>
        <item x="509"/>
        <item x="467"/>
        <item x="804"/>
        <item x="206"/>
        <item x="918"/>
        <item x="164"/>
        <item x="854"/>
        <item x="529"/>
        <item x="266"/>
        <item x="880"/>
        <item x="838"/>
        <item x="384"/>
        <item x="780"/>
        <item x="615"/>
        <item x="452"/>
        <item x="971"/>
        <item x="988"/>
        <item x="620"/>
        <item x="405"/>
        <item x="402"/>
        <item x="552"/>
        <item x="991"/>
        <item x="111"/>
        <item x="657"/>
        <item x="443"/>
        <item x="291"/>
        <item x="243"/>
        <item x="493"/>
        <item x="4"/>
        <item x="665"/>
        <item x="45"/>
        <item x="204"/>
        <item x="347"/>
        <item x="534"/>
        <item x="562"/>
        <item x="938"/>
        <item x="80"/>
        <item x="419"/>
        <item x="778"/>
        <item x="63"/>
        <item x="20"/>
        <item x="470"/>
        <item x="829"/>
        <item x="424"/>
        <item x="2"/>
        <item x="655"/>
        <item x="609"/>
        <item x="820"/>
        <item x="729"/>
        <item x="353"/>
        <item x="221"/>
        <item x="976"/>
        <item x="68"/>
        <item x="8"/>
        <item x="179"/>
        <item x="537"/>
        <item x="837"/>
        <item x="814"/>
        <item x="968"/>
        <item x="782"/>
        <item x="856"/>
        <item x="743"/>
        <item x="313"/>
        <item x="303"/>
        <item x="792"/>
        <item x="100"/>
        <item x="916"/>
        <item x="430"/>
        <item x="255"/>
        <item x="700"/>
        <item x="129"/>
        <item x="491"/>
        <item x="321"/>
        <item x="387"/>
        <item x="676"/>
        <item x="334"/>
        <item x="972"/>
        <item x="390"/>
        <item x="244"/>
        <item x="819"/>
        <item x="237"/>
        <item x="595"/>
        <item x="231"/>
        <item x="877"/>
        <item x="613"/>
        <item x="524"/>
        <item x="733"/>
        <item x="698"/>
        <item x="477"/>
        <item x="127"/>
        <item x="895"/>
        <item x="736"/>
        <item x="456"/>
        <item x="368"/>
        <item x="464"/>
        <item x="553"/>
        <item x="258"/>
        <item x="886"/>
        <item x="890"/>
        <item x="451"/>
        <item x="568"/>
        <item x="823"/>
        <item x="923"/>
        <item x="261"/>
        <item x="471"/>
        <item x="539"/>
        <item x="447"/>
        <item x="717"/>
        <item x="799"/>
        <item x="441"/>
        <item x="795"/>
        <item x="857"/>
        <item x="806"/>
        <item x="671"/>
        <item x="954"/>
        <item x="142"/>
        <item x="760"/>
        <item x="661"/>
        <item x="212"/>
        <item x="461"/>
        <item x="777"/>
        <item x="388"/>
        <item x="602"/>
        <item x="88"/>
        <item x="741"/>
        <item x="104"/>
        <item x="500"/>
        <item x="522"/>
        <item x="194"/>
        <item x="288"/>
        <item x="146"/>
        <item x="600"/>
        <item x="207"/>
        <item x="560"/>
        <item x="172"/>
        <item x="712"/>
        <item x="482"/>
        <item x="921"/>
        <item x="154"/>
        <item x="816"/>
        <item x="842"/>
        <item x="875"/>
        <item x="268"/>
        <item x="697"/>
        <item x="979"/>
        <item x="169"/>
        <item x="516"/>
        <item x="503"/>
        <item x="992"/>
        <item x="569"/>
        <item x="403"/>
        <item x="964"/>
        <item x="556"/>
        <item x="564"/>
        <item x="783"/>
        <item x="943"/>
        <item x="789"/>
        <item x="307"/>
        <item x="758"/>
        <item x="166"/>
        <item x="860"/>
        <item x="175"/>
        <item x="336"/>
        <item x="32"/>
        <item x="139"/>
        <item x="34"/>
        <item x="805"/>
        <item x="772"/>
        <item x="410"/>
        <item x="55"/>
        <item x="337"/>
        <item x="640"/>
        <item x="541"/>
        <item x="817"/>
        <item x="951"/>
        <item x="374"/>
        <item x="995"/>
        <item x="78"/>
        <item x="637"/>
        <item x="716"/>
        <item x="704"/>
        <item x="182"/>
        <item x="989"/>
        <item x="330"/>
        <item x="101"/>
        <item x="222"/>
        <item x="520"/>
        <item x="25"/>
        <item x="496"/>
        <item x="77"/>
        <item x="571"/>
        <item x="108"/>
        <item x="250"/>
        <item x="163"/>
        <item x="416"/>
        <item x="903"/>
        <item x="725"/>
        <item x="818"/>
        <item x="940"/>
        <item x="223"/>
        <item x="746"/>
        <item x="893"/>
        <item x="867"/>
        <item x="79"/>
        <item x="853"/>
        <item x="732"/>
        <item x="371"/>
        <item x="802"/>
        <item x="527"/>
        <item x="112"/>
        <item x="357"/>
        <item x="174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severit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6FE4C-A7A3-46BB-B97D-B79713610DC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18" firstHeaderRow="1" firstDataRow="1" firstDataCol="1"/>
  <pivotFields count="8"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efect_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4FFCA-DF56-4FAB-BBBD-DBAC5AB13F2E}" name="PivotTable1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id">
  <location ref="A4:B105" firstHeaderRow="1" firstDataRow="1" firstDataCol="1"/>
  <pivotFields count="9">
    <pivotField showAll="0"/>
    <pivotField axis="axisRow" showAll="0" sortType="descending">
      <items count="101">
        <item x="61"/>
        <item x="47"/>
        <item x="25"/>
        <item x="75"/>
        <item x="44"/>
        <item x="1"/>
        <item x="40"/>
        <item x="59"/>
        <item x="39"/>
        <item x="3"/>
        <item x="50"/>
        <item x="31"/>
        <item x="21"/>
        <item x="4"/>
        <item x="0"/>
        <item x="94"/>
        <item x="5"/>
        <item x="78"/>
        <item x="93"/>
        <item x="9"/>
        <item x="76"/>
        <item x="48"/>
        <item x="84"/>
        <item x="34"/>
        <item x="26"/>
        <item x="97"/>
        <item x="60"/>
        <item x="17"/>
        <item x="42"/>
        <item x="8"/>
        <item x="49"/>
        <item x="96"/>
        <item x="20"/>
        <item x="74"/>
        <item x="52"/>
        <item x="36"/>
        <item x="90"/>
        <item x="83"/>
        <item x="22"/>
        <item x="95"/>
        <item x="70"/>
        <item x="24"/>
        <item x="45"/>
        <item x="63"/>
        <item x="10"/>
        <item x="92"/>
        <item x="87"/>
        <item x="28"/>
        <item x="33"/>
        <item x="98"/>
        <item x="30"/>
        <item x="46"/>
        <item x="15"/>
        <item x="88"/>
        <item x="99"/>
        <item x="58"/>
        <item x="89"/>
        <item x="27"/>
        <item x="82"/>
        <item x="23"/>
        <item x="69"/>
        <item x="41"/>
        <item x="16"/>
        <item x="35"/>
        <item x="38"/>
        <item x="65"/>
        <item x="19"/>
        <item x="29"/>
        <item x="53"/>
        <item x="55"/>
        <item x="51"/>
        <item x="13"/>
        <item x="43"/>
        <item x="14"/>
        <item x="54"/>
        <item x="79"/>
        <item x="72"/>
        <item x="80"/>
        <item x="37"/>
        <item x="67"/>
        <item x="18"/>
        <item x="81"/>
        <item x="64"/>
        <item x="2"/>
        <item x="6"/>
        <item x="11"/>
        <item x="12"/>
        <item x="86"/>
        <item x="85"/>
        <item x="7"/>
        <item x="73"/>
        <item x="32"/>
        <item x="57"/>
        <item x="91"/>
        <item x="77"/>
        <item x="71"/>
        <item x="62"/>
        <item x="56"/>
        <item x="66"/>
        <item x="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dataField="1" showAll="0"/>
    <pivotField showAll="0"/>
  </pivotFields>
  <rowFields count="1">
    <field x="1"/>
  </rowFields>
  <rowItems count="101">
    <i>
      <x v="80"/>
    </i>
    <i>
      <x v="9"/>
    </i>
    <i>
      <x v="55"/>
    </i>
    <i>
      <x v="44"/>
    </i>
    <i>
      <x v="62"/>
    </i>
    <i>
      <x v="5"/>
    </i>
    <i>
      <x v="73"/>
    </i>
    <i>
      <x v="48"/>
    </i>
    <i>
      <x v="96"/>
    </i>
    <i>
      <x v="76"/>
    </i>
    <i>
      <x v="91"/>
    </i>
    <i>
      <x v="42"/>
    </i>
    <i>
      <x v="78"/>
    </i>
    <i>
      <x v="16"/>
    </i>
    <i>
      <x v="85"/>
    </i>
    <i>
      <x v="66"/>
    </i>
    <i>
      <x v="50"/>
    </i>
    <i>
      <x v="26"/>
    </i>
    <i>
      <x/>
    </i>
    <i>
      <x v="11"/>
    </i>
    <i>
      <x v="45"/>
    </i>
    <i>
      <x v="6"/>
    </i>
    <i>
      <x v="3"/>
    </i>
    <i>
      <x v="59"/>
    </i>
    <i>
      <x v="7"/>
    </i>
    <i>
      <x v="30"/>
    </i>
    <i>
      <x v="46"/>
    </i>
    <i>
      <x v="86"/>
    </i>
    <i>
      <x v="94"/>
    </i>
    <i>
      <x v="57"/>
    </i>
    <i>
      <x v="60"/>
    </i>
    <i>
      <x v="95"/>
    </i>
    <i>
      <x v="68"/>
    </i>
    <i>
      <x v="4"/>
    </i>
    <i>
      <x v="65"/>
    </i>
    <i>
      <x v="34"/>
    </i>
    <i>
      <x v="40"/>
    </i>
    <i>
      <x v="13"/>
    </i>
    <i>
      <x v="75"/>
    </i>
    <i>
      <x v="98"/>
    </i>
    <i>
      <x v="63"/>
    </i>
    <i>
      <x v="74"/>
    </i>
    <i>
      <x v="32"/>
    </i>
    <i>
      <x v="27"/>
    </i>
    <i>
      <x v="64"/>
    </i>
    <i>
      <x v="25"/>
    </i>
    <i>
      <x v="38"/>
    </i>
    <i>
      <x v="29"/>
    </i>
    <i>
      <x v="82"/>
    </i>
    <i>
      <x v="35"/>
    </i>
    <i>
      <x v="87"/>
    </i>
    <i>
      <x v="12"/>
    </i>
    <i>
      <x v="36"/>
    </i>
    <i>
      <x v="89"/>
    </i>
    <i>
      <x v="97"/>
    </i>
    <i>
      <x v="47"/>
    </i>
    <i>
      <x v="71"/>
    </i>
    <i>
      <x v="8"/>
    </i>
    <i>
      <x v="72"/>
    </i>
    <i>
      <x v="53"/>
    </i>
    <i>
      <x v="99"/>
    </i>
    <i>
      <x v="43"/>
    </i>
    <i>
      <x v="67"/>
    </i>
    <i>
      <x v="22"/>
    </i>
    <i>
      <x v="14"/>
    </i>
    <i>
      <x v="69"/>
    </i>
    <i>
      <x v="10"/>
    </i>
    <i>
      <x v="37"/>
    </i>
    <i>
      <x v="19"/>
    </i>
    <i>
      <x v="21"/>
    </i>
    <i>
      <x v="15"/>
    </i>
    <i>
      <x v="93"/>
    </i>
    <i>
      <x v="24"/>
    </i>
    <i>
      <x v="92"/>
    </i>
    <i>
      <x v="83"/>
    </i>
    <i>
      <x v="81"/>
    </i>
    <i>
      <x v="23"/>
    </i>
    <i>
      <x v="79"/>
    </i>
    <i>
      <x v="61"/>
    </i>
    <i>
      <x v="52"/>
    </i>
    <i>
      <x v="1"/>
    </i>
    <i>
      <x v="2"/>
    </i>
    <i>
      <x v="56"/>
    </i>
    <i>
      <x v="70"/>
    </i>
    <i>
      <x v="77"/>
    </i>
    <i>
      <x v="28"/>
    </i>
    <i>
      <x v="31"/>
    </i>
    <i>
      <x v="90"/>
    </i>
    <i>
      <x v="39"/>
    </i>
    <i>
      <x v="41"/>
    </i>
    <i>
      <x v="58"/>
    </i>
    <i>
      <x v="88"/>
    </i>
    <i>
      <x v="49"/>
    </i>
    <i>
      <x v="20"/>
    </i>
    <i>
      <x v="33"/>
    </i>
    <i>
      <x v="18"/>
    </i>
    <i>
      <x v="17"/>
    </i>
    <i>
      <x v="51"/>
    </i>
    <i>
      <x v="84"/>
    </i>
    <i>
      <x v="54"/>
    </i>
    <i t="grand">
      <x/>
    </i>
  </rowItems>
  <colItems count="1">
    <i/>
  </colItems>
  <dataFields count="1">
    <dataField name="Sum of repair_cos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2735-5704-408E-B210-9E1703E31795}">
  <dimension ref="A1:H1001"/>
  <sheetViews>
    <sheetView workbookViewId="0">
      <selection activeCell="K11" sqref="K11"/>
    </sheetView>
  </sheetViews>
  <sheetFormatPr defaultRowHeight="15"/>
  <cols>
    <col min="1" max="1" width="8.85546875" bestFit="1" customWidth="1"/>
    <col min="2" max="2" width="10.42578125" bestFit="1" customWidth="1"/>
    <col min="3" max="3" width="10.7109375" bestFit="1" customWidth="1"/>
    <col min="4" max="4" width="11" bestFit="1" customWidth="1"/>
    <col min="5" max="5" width="14.5703125" bestFit="1" customWidth="1"/>
    <col min="6" max="6" width="9.28515625" bestFit="1" customWidth="1"/>
    <col min="7" max="7" width="18.140625" bestFit="1" customWidth="1"/>
    <col min="8" max="8" width="10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15</v>
      </c>
      <c r="C2" t="s">
        <v>8</v>
      </c>
      <c r="D2" s="1">
        <v>45449</v>
      </c>
      <c r="E2" t="s">
        <v>9</v>
      </c>
      <c r="F2" t="s">
        <v>10</v>
      </c>
      <c r="G2" t="s">
        <v>11</v>
      </c>
      <c r="H2">
        <v>245.47</v>
      </c>
    </row>
    <row r="3" spans="1:8">
      <c r="A3">
        <v>2</v>
      </c>
      <c r="B3">
        <v>6</v>
      </c>
      <c r="C3" t="s">
        <v>12</v>
      </c>
      <c r="D3" t="s">
        <v>13</v>
      </c>
      <c r="E3" t="s">
        <v>9</v>
      </c>
      <c r="F3" t="s">
        <v>10</v>
      </c>
      <c r="G3" t="s">
        <v>11</v>
      </c>
      <c r="H3">
        <v>26.87</v>
      </c>
    </row>
    <row r="4" spans="1:8">
      <c r="A4">
        <v>3</v>
      </c>
      <c r="B4">
        <v>84</v>
      </c>
      <c r="C4" t="s">
        <v>8</v>
      </c>
      <c r="D4" t="s">
        <v>14</v>
      </c>
      <c r="E4" t="s">
        <v>15</v>
      </c>
      <c r="F4" t="s">
        <v>10</v>
      </c>
      <c r="G4" t="s">
        <v>16</v>
      </c>
      <c r="H4">
        <v>835.81</v>
      </c>
    </row>
    <row r="5" spans="1:8">
      <c r="A5">
        <v>4</v>
      </c>
      <c r="B5">
        <v>10</v>
      </c>
      <c r="C5" t="s">
        <v>12</v>
      </c>
      <c r="D5" t="s">
        <v>17</v>
      </c>
      <c r="E5" t="s">
        <v>15</v>
      </c>
      <c r="F5" t="s">
        <v>18</v>
      </c>
      <c r="G5" t="s">
        <v>16</v>
      </c>
      <c r="H5">
        <v>444.47</v>
      </c>
    </row>
    <row r="6" spans="1:8">
      <c r="A6">
        <v>5</v>
      </c>
      <c r="B6">
        <v>14</v>
      </c>
      <c r="C6" t="s">
        <v>19</v>
      </c>
      <c r="D6" t="s">
        <v>13</v>
      </c>
      <c r="E6" t="s">
        <v>9</v>
      </c>
      <c r="F6" t="s">
        <v>10</v>
      </c>
      <c r="G6" t="s">
        <v>20</v>
      </c>
      <c r="H6">
        <v>823.64</v>
      </c>
    </row>
    <row r="7" spans="1:8">
      <c r="A7">
        <v>6</v>
      </c>
      <c r="B7">
        <v>17</v>
      </c>
      <c r="C7" t="s">
        <v>12</v>
      </c>
      <c r="D7" s="1">
        <v>45601</v>
      </c>
      <c r="E7" t="s">
        <v>15</v>
      </c>
      <c r="F7" t="s">
        <v>21</v>
      </c>
      <c r="G7" t="s">
        <v>11</v>
      </c>
      <c r="H7">
        <v>788.11</v>
      </c>
    </row>
    <row r="8" spans="1:8">
      <c r="A8">
        <v>7</v>
      </c>
      <c r="B8">
        <v>85</v>
      </c>
      <c r="C8" t="s">
        <v>19</v>
      </c>
      <c r="D8" t="s">
        <v>22</v>
      </c>
      <c r="E8" t="s">
        <v>15</v>
      </c>
      <c r="F8" t="s">
        <v>18</v>
      </c>
      <c r="G8" t="s">
        <v>20</v>
      </c>
      <c r="H8">
        <v>33.68</v>
      </c>
    </row>
    <row r="9" spans="1:8">
      <c r="A9">
        <v>8</v>
      </c>
      <c r="B9">
        <v>90</v>
      </c>
      <c r="C9" t="s">
        <v>8</v>
      </c>
      <c r="D9" t="s">
        <v>23</v>
      </c>
      <c r="E9" t="s">
        <v>15</v>
      </c>
      <c r="F9" t="s">
        <v>21</v>
      </c>
      <c r="G9" t="s">
        <v>20</v>
      </c>
      <c r="H9">
        <v>65.56</v>
      </c>
    </row>
    <row r="10" spans="1:8">
      <c r="A10">
        <v>9</v>
      </c>
      <c r="B10">
        <v>30</v>
      </c>
      <c r="C10" t="s">
        <v>8</v>
      </c>
      <c r="D10" t="s">
        <v>24</v>
      </c>
      <c r="E10" t="s">
        <v>9</v>
      </c>
      <c r="F10" t="s">
        <v>18</v>
      </c>
      <c r="G10" t="s">
        <v>20</v>
      </c>
      <c r="H10">
        <v>848.61</v>
      </c>
    </row>
    <row r="11" spans="1:8">
      <c r="A11">
        <v>10</v>
      </c>
      <c r="B11">
        <v>20</v>
      </c>
      <c r="C11" t="s">
        <v>8</v>
      </c>
      <c r="D11" s="1">
        <v>45418</v>
      </c>
      <c r="E11" t="s">
        <v>9</v>
      </c>
      <c r="F11" t="s">
        <v>18</v>
      </c>
      <c r="G11" t="s">
        <v>11</v>
      </c>
      <c r="H11">
        <v>478.48</v>
      </c>
    </row>
    <row r="12" spans="1:8">
      <c r="A12">
        <v>11</v>
      </c>
      <c r="B12">
        <v>45</v>
      </c>
      <c r="C12" t="s">
        <v>8</v>
      </c>
      <c r="D12" t="s">
        <v>25</v>
      </c>
      <c r="E12" t="s">
        <v>26</v>
      </c>
      <c r="F12" t="s">
        <v>21</v>
      </c>
      <c r="G12" t="s">
        <v>16</v>
      </c>
      <c r="H12">
        <v>217.96</v>
      </c>
    </row>
    <row r="13" spans="1:8">
      <c r="A13">
        <v>12</v>
      </c>
      <c r="B13">
        <v>86</v>
      </c>
      <c r="C13" t="s">
        <v>8</v>
      </c>
      <c r="D13" t="s">
        <v>27</v>
      </c>
      <c r="E13" t="s">
        <v>9</v>
      </c>
      <c r="F13" t="s">
        <v>10</v>
      </c>
      <c r="G13" t="s">
        <v>20</v>
      </c>
      <c r="H13">
        <v>485.02</v>
      </c>
    </row>
    <row r="14" spans="1:8">
      <c r="A14">
        <v>13</v>
      </c>
      <c r="B14">
        <v>87</v>
      </c>
      <c r="C14" t="s">
        <v>19</v>
      </c>
      <c r="D14" t="s">
        <v>28</v>
      </c>
      <c r="E14" t="s">
        <v>9</v>
      </c>
      <c r="F14" t="s">
        <v>10</v>
      </c>
      <c r="G14" t="s">
        <v>11</v>
      </c>
      <c r="H14">
        <v>714.63</v>
      </c>
    </row>
    <row r="15" spans="1:8">
      <c r="A15">
        <v>14</v>
      </c>
      <c r="B15">
        <v>72</v>
      </c>
      <c r="C15" t="s">
        <v>19</v>
      </c>
      <c r="D15" s="1">
        <v>45509</v>
      </c>
      <c r="E15" t="s">
        <v>26</v>
      </c>
      <c r="F15" t="s">
        <v>18</v>
      </c>
      <c r="G15" t="s">
        <v>20</v>
      </c>
      <c r="H15">
        <v>603.94000000000005</v>
      </c>
    </row>
    <row r="16" spans="1:8">
      <c r="A16">
        <v>15</v>
      </c>
      <c r="B16">
        <v>74</v>
      </c>
      <c r="C16" t="s">
        <v>19</v>
      </c>
      <c r="D16" s="1">
        <v>45356</v>
      </c>
      <c r="E16" t="s">
        <v>9</v>
      </c>
      <c r="F16" t="s">
        <v>18</v>
      </c>
      <c r="G16" t="s">
        <v>20</v>
      </c>
      <c r="H16">
        <v>189.55</v>
      </c>
    </row>
    <row r="17" spans="1:8">
      <c r="A17">
        <v>16</v>
      </c>
      <c r="B17">
        <v>10</v>
      </c>
      <c r="C17" t="s">
        <v>12</v>
      </c>
      <c r="D17" t="s">
        <v>29</v>
      </c>
      <c r="E17" t="s">
        <v>9</v>
      </c>
      <c r="F17" t="s">
        <v>10</v>
      </c>
      <c r="G17" t="s">
        <v>16</v>
      </c>
      <c r="H17">
        <v>458.79</v>
      </c>
    </row>
    <row r="18" spans="1:8">
      <c r="A18">
        <v>17</v>
      </c>
      <c r="B18">
        <v>53</v>
      </c>
      <c r="C18" t="s">
        <v>8</v>
      </c>
      <c r="D18" t="s">
        <v>30</v>
      </c>
      <c r="E18" t="s">
        <v>15</v>
      </c>
      <c r="F18" t="s">
        <v>10</v>
      </c>
      <c r="G18" t="s">
        <v>11</v>
      </c>
      <c r="H18">
        <v>509.35</v>
      </c>
    </row>
    <row r="19" spans="1:8">
      <c r="A19">
        <v>18</v>
      </c>
      <c r="B19">
        <v>63</v>
      </c>
      <c r="C19" t="s">
        <v>19</v>
      </c>
      <c r="D19" t="s">
        <v>31</v>
      </c>
      <c r="E19" t="s">
        <v>9</v>
      </c>
      <c r="F19" t="s">
        <v>18</v>
      </c>
      <c r="G19" t="s">
        <v>11</v>
      </c>
      <c r="H19">
        <v>538.99</v>
      </c>
    </row>
    <row r="20" spans="1:8">
      <c r="A20">
        <v>19</v>
      </c>
      <c r="B20">
        <v>28</v>
      </c>
      <c r="C20" t="s">
        <v>12</v>
      </c>
      <c r="D20" t="s">
        <v>14</v>
      </c>
      <c r="E20" t="s">
        <v>15</v>
      </c>
      <c r="F20" t="s">
        <v>18</v>
      </c>
      <c r="G20" t="s">
        <v>20</v>
      </c>
      <c r="H20">
        <v>34.93</v>
      </c>
    </row>
    <row r="21" spans="1:8">
      <c r="A21">
        <v>20</v>
      </c>
      <c r="B21">
        <v>81</v>
      </c>
      <c r="C21" t="s">
        <v>8</v>
      </c>
      <c r="D21" t="s">
        <v>32</v>
      </c>
      <c r="E21" t="s">
        <v>15</v>
      </c>
      <c r="F21" t="s">
        <v>21</v>
      </c>
      <c r="G21" t="s">
        <v>20</v>
      </c>
      <c r="H21">
        <v>557.11</v>
      </c>
    </row>
    <row r="22" spans="1:8">
      <c r="A22">
        <v>21</v>
      </c>
      <c r="B22">
        <v>67</v>
      </c>
      <c r="C22" t="s">
        <v>12</v>
      </c>
      <c r="D22" s="1">
        <v>45356</v>
      </c>
      <c r="E22" t="s">
        <v>26</v>
      </c>
      <c r="F22" t="s">
        <v>10</v>
      </c>
      <c r="G22" t="s">
        <v>11</v>
      </c>
      <c r="H22">
        <v>831.43</v>
      </c>
    </row>
    <row r="23" spans="1:8">
      <c r="A23">
        <v>22</v>
      </c>
      <c r="B23">
        <v>6</v>
      </c>
      <c r="C23" t="s">
        <v>8</v>
      </c>
      <c r="D23" s="1">
        <v>45446</v>
      </c>
      <c r="E23" t="s">
        <v>26</v>
      </c>
      <c r="F23" t="s">
        <v>10</v>
      </c>
      <c r="G23" t="s">
        <v>11</v>
      </c>
      <c r="H23">
        <v>504.9</v>
      </c>
    </row>
    <row r="24" spans="1:8">
      <c r="A24">
        <v>23</v>
      </c>
      <c r="B24">
        <v>33</v>
      </c>
      <c r="C24" t="s">
        <v>8</v>
      </c>
      <c r="D24" s="1">
        <v>45448</v>
      </c>
      <c r="E24" t="s">
        <v>26</v>
      </c>
      <c r="F24" t="s">
        <v>21</v>
      </c>
      <c r="G24" t="s">
        <v>16</v>
      </c>
      <c r="H24">
        <v>349.23</v>
      </c>
    </row>
    <row r="25" spans="1:8">
      <c r="A25">
        <v>24</v>
      </c>
      <c r="B25">
        <v>15</v>
      </c>
      <c r="C25" t="s">
        <v>8</v>
      </c>
      <c r="D25" t="s">
        <v>33</v>
      </c>
      <c r="E25" t="s">
        <v>9</v>
      </c>
      <c r="F25" t="s">
        <v>18</v>
      </c>
      <c r="G25" t="s">
        <v>11</v>
      </c>
      <c r="H25">
        <v>560.39</v>
      </c>
    </row>
    <row r="26" spans="1:8">
      <c r="A26">
        <v>25</v>
      </c>
      <c r="B26">
        <v>13</v>
      </c>
      <c r="C26" t="s">
        <v>19</v>
      </c>
      <c r="D26" t="s">
        <v>34</v>
      </c>
      <c r="E26" t="s">
        <v>26</v>
      </c>
      <c r="F26" t="s">
        <v>21</v>
      </c>
      <c r="G26" t="s">
        <v>20</v>
      </c>
      <c r="H26">
        <v>629.71</v>
      </c>
    </row>
    <row r="27" spans="1:8">
      <c r="A27">
        <v>26</v>
      </c>
      <c r="B27">
        <v>39</v>
      </c>
      <c r="C27" t="s">
        <v>8</v>
      </c>
      <c r="D27" t="s">
        <v>35</v>
      </c>
      <c r="E27" t="s">
        <v>9</v>
      </c>
      <c r="F27" t="s">
        <v>21</v>
      </c>
      <c r="G27" t="s">
        <v>11</v>
      </c>
      <c r="H27">
        <v>975.44</v>
      </c>
    </row>
    <row r="28" spans="1:8">
      <c r="A28">
        <v>27</v>
      </c>
      <c r="B28">
        <v>60</v>
      </c>
      <c r="C28" t="s">
        <v>19</v>
      </c>
      <c r="D28" s="1">
        <v>45509</v>
      </c>
      <c r="E28" t="s">
        <v>9</v>
      </c>
      <c r="F28" t="s">
        <v>21</v>
      </c>
      <c r="G28" t="s">
        <v>20</v>
      </c>
      <c r="H28">
        <v>737.54</v>
      </c>
    </row>
    <row r="29" spans="1:8">
      <c r="A29">
        <v>28</v>
      </c>
      <c r="B29">
        <v>42</v>
      </c>
      <c r="C29" t="s">
        <v>8</v>
      </c>
      <c r="D29" s="1">
        <v>45323</v>
      </c>
      <c r="E29" t="s">
        <v>9</v>
      </c>
      <c r="F29" t="s">
        <v>18</v>
      </c>
      <c r="G29" t="s">
        <v>20</v>
      </c>
      <c r="H29">
        <v>592.87</v>
      </c>
    </row>
    <row r="30" spans="1:8">
      <c r="A30">
        <v>29</v>
      </c>
      <c r="B30">
        <v>3</v>
      </c>
      <c r="C30" t="s">
        <v>8</v>
      </c>
      <c r="D30" t="s">
        <v>36</v>
      </c>
      <c r="E30" t="s">
        <v>9</v>
      </c>
      <c r="F30" t="s">
        <v>21</v>
      </c>
      <c r="G30" t="s">
        <v>16</v>
      </c>
      <c r="H30">
        <v>99.82</v>
      </c>
    </row>
    <row r="31" spans="1:8">
      <c r="A31">
        <v>30</v>
      </c>
      <c r="B31">
        <v>17</v>
      </c>
      <c r="C31" t="s">
        <v>12</v>
      </c>
      <c r="D31" t="s">
        <v>37</v>
      </c>
      <c r="E31" t="s">
        <v>26</v>
      </c>
      <c r="F31" t="s">
        <v>18</v>
      </c>
      <c r="G31" t="s">
        <v>11</v>
      </c>
      <c r="H31">
        <v>106.34</v>
      </c>
    </row>
    <row r="32" spans="1:8">
      <c r="A32">
        <v>31</v>
      </c>
      <c r="B32">
        <v>30</v>
      </c>
      <c r="C32" t="s">
        <v>8</v>
      </c>
      <c r="D32" t="s">
        <v>38</v>
      </c>
      <c r="E32" t="s">
        <v>26</v>
      </c>
      <c r="F32" t="s">
        <v>18</v>
      </c>
      <c r="G32" t="s">
        <v>16</v>
      </c>
      <c r="H32">
        <v>352.58</v>
      </c>
    </row>
    <row r="33" spans="1:8">
      <c r="A33">
        <v>32</v>
      </c>
      <c r="B33">
        <v>25</v>
      </c>
      <c r="C33" t="s">
        <v>8</v>
      </c>
      <c r="D33" t="s">
        <v>39</v>
      </c>
      <c r="E33" t="s">
        <v>26</v>
      </c>
      <c r="F33" t="s">
        <v>21</v>
      </c>
      <c r="G33" t="s">
        <v>11</v>
      </c>
      <c r="H33">
        <v>734.12</v>
      </c>
    </row>
    <row r="34" spans="1:8">
      <c r="A34">
        <v>33</v>
      </c>
      <c r="B34">
        <v>14</v>
      </c>
      <c r="C34" t="s">
        <v>19</v>
      </c>
      <c r="D34" t="s">
        <v>40</v>
      </c>
      <c r="E34" t="s">
        <v>15</v>
      </c>
      <c r="F34" t="s">
        <v>10</v>
      </c>
      <c r="G34" t="s">
        <v>11</v>
      </c>
      <c r="H34">
        <v>953.54</v>
      </c>
    </row>
    <row r="35" spans="1:8">
      <c r="A35">
        <v>34</v>
      </c>
      <c r="B35">
        <v>58</v>
      </c>
      <c r="C35" t="s">
        <v>8</v>
      </c>
      <c r="D35" t="s">
        <v>41</v>
      </c>
      <c r="E35" t="s">
        <v>26</v>
      </c>
      <c r="F35" t="s">
        <v>18</v>
      </c>
      <c r="G35" t="s">
        <v>20</v>
      </c>
      <c r="H35">
        <v>753.89</v>
      </c>
    </row>
    <row r="36" spans="1:8">
      <c r="A36">
        <v>35</v>
      </c>
      <c r="B36">
        <v>48</v>
      </c>
      <c r="C36" t="s">
        <v>12</v>
      </c>
      <c r="D36" s="1">
        <v>45386</v>
      </c>
      <c r="E36" t="s">
        <v>9</v>
      </c>
      <c r="F36" t="s">
        <v>18</v>
      </c>
      <c r="G36" t="s">
        <v>16</v>
      </c>
      <c r="H36">
        <v>955.91</v>
      </c>
    </row>
    <row r="37" spans="1:8">
      <c r="A37">
        <v>36</v>
      </c>
      <c r="B37">
        <v>20</v>
      </c>
      <c r="C37" t="s">
        <v>8</v>
      </c>
      <c r="D37" s="1">
        <v>45388</v>
      </c>
      <c r="E37" t="s">
        <v>26</v>
      </c>
      <c r="F37" t="s">
        <v>18</v>
      </c>
      <c r="G37" t="s">
        <v>16</v>
      </c>
      <c r="H37">
        <v>776.91</v>
      </c>
    </row>
    <row r="38" spans="1:8">
      <c r="A38">
        <v>37</v>
      </c>
      <c r="B38">
        <v>68</v>
      </c>
      <c r="C38" t="s">
        <v>19</v>
      </c>
      <c r="D38" t="s">
        <v>29</v>
      </c>
      <c r="E38" t="s">
        <v>15</v>
      </c>
      <c r="F38" t="s">
        <v>18</v>
      </c>
      <c r="G38" t="s">
        <v>20</v>
      </c>
      <c r="H38">
        <v>607.96</v>
      </c>
    </row>
    <row r="39" spans="1:8">
      <c r="A39">
        <v>38</v>
      </c>
      <c r="B39">
        <v>51</v>
      </c>
      <c r="C39" t="s">
        <v>12</v>
      </c>
      <c r="D39" s="1">
        <v>45510</v>
      </c>
      <c r="E39" t="s">
        <v>15</v>
      </c>
      <c r="F39" t="s">
        <v>21</v>
      </c>
      <c r="G39" t="s">
        <v>16</v>
      </c>
      <c r="H39">
        <v>107.7</v>
      </c>
    </row>
    <row r="40" spans="1:8">
      <c r="A40">
        <v>39</v>
      </c>
      <c r="B40">
        <v>12</v>
      </c>
      <c r="C40" t="s">
        <v>12</v>
      </c>
      <c r="D40" t="s">
        <v>42</v>
      </c>
      <c r="E40" t="s">
        <v>15</v>
      </c>
      <c r="F40" t="s">
        <v>18</v>
      </c>
      <c r="G40" t="s">
        <v>20</v>
      </c>
      <c r="H40">
        <v>27.24</v>
      </c>
    </row>
    <row r="41" spans="1:8">
      <c r="A41">
        <v>40</v>
      </c>
      <c r="B41">
        <v>92</v>
      </c>
      <c r="C41" t="s">
        <v>19</v>
      </c>
      <c r="D41" s="1">
        <v>45444</v>
      </c>
      <c r="E41" t="s">
        <v>26</v>
      </c>
      <c r="F41" t="s">
        <v>18</v>
      </c>
      <c r="G41" t="s">
        <v>11</v>
      </c>
      <c r="H41">
        <v>370.83</v>
      </c>
    </row>
    <row r="42" spans="1:8">
      <c r="A42">
        <v>41</v>
      </c>
      <c r="B42">
        <v>63</v>
      </c>
      <c r="C42" t="s">
        <v>12</v>
      </c>
      <c r="D42" s="1">
        <v>45599</v>
      </c>
      <c r="E42" t="s">
        <v>9</v>
      </c>
      <c r="F42" t="s">
        <v>10</v>
      </c>
      <c r="G42" t="s">
        <v>20</v>
      </c>
      <c r="H42">
        <v>526.08000000000004</v>
      </c>
    </row>
    <row r="43" spans="1:8">
      <c r="A43">
        <v>42</v>
      </c>
      <c r="B43">
        <v>49</v>
      </c>
      <c r="C43" t="s">
        <v>12</v>
      </c>
      <c r="D43" t="s">
        <v>43</v>
      </c>
      <c r="E43" t="s">
        <v>26</v>
      </c>
      <c r="F43" t="s">
        <v>18</v>
      </c>
      <c r="G43" t="s">
        <v>16</v>
      </c>
      <c r="H43">
        <v>144.38</v>
      </c>
    </row>
    <row r="44" spans="1:8">
      <c r="A44">
        <v>43</v>
      </c>
      <c r="B44">
        <v>72</v>
      </c>
      <c r="C44" t="s">
        <v>19</v>
      </c>
      <c r="D44" t="s">
        <v>44</v>
      </c>
      <c r="E44" t="s">
        <v>26</v>
      </c>
      <c r="F44" t="s">
        <v>21</v>
      </c>
      <c r="G44" t="s">
        <v>11</v>
      </c>
      <c r="H44">
        <v>534.33000000000004</v>
      </c>
    </row>
    <row r="45" spans="1:8">
      <c r="A45">
        <v>44</v>
      </c>
      <c r="B45">
        <v>24</v>
      </c>
      <c r="C45" t="s">
        <v>8</v>
      </c>
      <c r="D45" t="s">
        <v>43</v>
      </c>
      <c r="E45" t="s">
        <v>26</v>
      </c>
      <c r="F45" t="s">
        <v>10</v>
      </c>
      <c r="G45" t="s">
        <v>11</v>
      </c>
      <c r="H45">
        <v>456.8</v>
      </c>
    </row>
    <row r="46" spans="1:8">
      <c r="A46">
        <v>45</v>
      </c>
      <c r="B46">
        <v>64</v>
      </c>
      <c r="C46" t="s">
        <v>12</v>
      </c>
      <c r="D46" t="s">
        <v>45</v>
      </c>
      <c r="E46" t="s">
        <v>26</v>
      </c>
      <c r="F46" t="s">
        <v>10</v>
      </c>
      <c r="G46" t="s">
        <v>16</v>
      </c>
      <c r="H46">
        <v>215.01</v>
      </c>
    </row>
    <row r="47" spans="1:8">
      <c r="A47">
        <v>46</v>
      </c>
      <c r="B47">
        <v>36</v>
      </c>
      <c r="C47" t="s">
        <v>8</v>
      </c>
      <c r="D47" t="s">
        <v>46</v>
      </c>
      <c r="E47" t="s">
        <v>26</v>
      </c>
      <c r="F47" t="s">
        <v>21</v>
      </c>
      <c r="G47" t="s">
        <v>20</v>
      </c>
      <c r="H47">
        <v>824.3</v>
      </c>
    </row>
    <row r="48" spans="1:8">
      <c r="A48">
        <v>47</v>
      </c>
      <c r="B48">
        <v>79</v>
      </c>
      <c r="C48" t="s">
        <v>8</v>
      </c>
      <c r="D48" t="s">
        <v>47</v>
      </c>
      <c r="E48" t="s">
        <v>9</v>
      </c>
      <c r="F48" t="s">
        <v>18</v>
      </c>
      <c r="G48" t="s">
        <v>20</v>
      </c>
      <c r="H48">
        <v>769.28</v>
      </c>
    </row>
    <row r="49" spans="1:8">
      <c r="A49">
        <v>48</v>
      </c>
      <c r="B49">
        <v>36</v>
      </c>
      <c r="C49" t="s">
        <v>8</v>
      </c>
      <c r="D49" s="1">
        <v>45352</v>
      </c>
      <c r="E49" t="s">
        <v>9</v>
      </c>
      <c r="F49" t="s">
        <v>21</v>
      </c>
      <c r="G49" t="s">
        <v>20</v>
      </c>
      <c r="H49">
        <v>160.25</v>
      </c>
    </row>
    <row r="50" spans="1:8">
      <c r="A50">
        <v>49</v>
      </c>
      <c r="B50">
        <v>65</v>
      </c>
      <c r="C50" t="s">
        <v>12</v>
      </c>
      <c r="D50" t="s">
        <v>48</v>
      </c>
      <c r="E50" t="s">
        <v>9</v>
      </c>
      <c r="F50" t="s">
        <v>10</v>
      </c>
      <c r="G50" t="s">
        <v>16</v>
      </c>
      <c r="H50">
        <v>386.17</v>
      </c>
    </row>
    <row r="51" spans="1:8">
      <c r="A51">
        <v>50</v>
      </c>
      <c r="B51">
        <v>9</v>
      </c>
      <c r="C51" t="s">
        <v>12</v>
      </c>
      <c r="D51" s="1">
        <v>45444</v>
      </c>
      <c r="E51" t="s">
        <v>9</v>
      </c>
      <c r="F51" t="s">
        <v>21</v>
      </c>
      <c r="G51" t="s">
        <v>20</v>
      </c>
      <c r="H51">
        <v>572.08000000000004</v>
      </c>
    </row>
    <row r="52" spans="1:8">
      <c r="A52">
        <v>51</v>
      </c>
      <c r="B52">
        <v>10</v>
      </c>
      <c r="C52" t="s">
        <v>8</v>
      </c>
      <c r="D52" t="s">
        <v>49</v>
      </c>
      <c r="E52" t="s">
        <v>15</v>
      </c>
      <c r="F52" t="s">
        <v>10</v>
      </c>
      <c r="G52" t="s">
        <v>11</v>
      </c>
      <c r="H52">
        <v>433.85</v>
      </c>
    </row>
    <row r="53" spans="1:8">
      <c r="A53">
        <v>52</v>
      </c>
      <c r="B53">
        <v>7</v>
      </c>
      <c r="C53" t="s">
        <v>8</v>
      </c>
      <c r="D53" t="s">
        <v>50</v>
      </c>
      <c r="E53" t="s">
        <v>26</v>
      </c>
      <c r="F53" t="s">
        <v>10</v>
      </c>
      <c r="G53" t="s">
        <v>20</v>
      </c>
      <c r="H53">
        <v>338.1</v>
      </c>
    </row>
    <row r="54" spans="1:8">
      <c r="A54">
        <v>53</v>
      </c>
      <c r="B54">
        <v>81</v>
      </c>
      <c r="C54" t="s">
        <v>12</v>
      </c>
      <c r="D54" s="1">
        <v>45352</v>
      </c>
      <c r="E54" t="s">
        <v>26</v>
      </c>
      <c r="F54" t="s">
        <v>18</v>
      </c>
      <c r="G54" t="s">
        <v>16</v>
      </c>
      <c r="H54">
        <v>93.13</v>
      </c>
    </row>
    <row r="55" spans="1:8">
      <c r="A55">
        <v>54</v>
      </c>
      <c r="B55">
        <v>62</v>
      </c>
      <c r="C55" t="s">
        <v>19</v>
      </c>
      <c r="D55" t="s">
        <v>30</v>
      </c>
      <c r="E55" t="s">
        <v>9</v>
      </c>
      <c r="F55" t="s">
        <v>21</v>
      </c>
      <c r="G55" t="s">
        <v>11</v>
      </c>
      <c r="H55">
        <v>308.37</v>
      </c>
    </row>
    <row r="56" spans="1:8">
      <c r="A56">
        <v>55</v>
      </c>
      <c r="B56">
        <v>29</v>
      </c>
      <c r="C56" t="s">
        <v>8</v>
      </c>
      <c r="D56" t="s">
        <v>44</v>
      </c>
      <c r="E56" t="s">
        <v>15</v>
      </c>
      <c r="F56" t="s">
        <v>18</v>
      </c>
      <c r="G56" t="s">
        <v>16</v>
      </c>
      <c r="H56">
        <v>396.58</v>
      </c>
    </row>
    <row r="57" spans="1:8">
      <c r="A57">
        <v>56</v>
      </c>
      <c r="B57">
        <v>73</v>
      </c>
      <c r="C57" t="s">
        <v>8</v>
      </c>
      <c r="D57" t="s">
        <v>51</v>
      </c>
      <c r="E57" t="s">
        <v>26</v>
      </c>
      <c r="F57" t="s">
        <v>10</v>
      </c>
      <c r="G57" t="s">
        <v>16</v>
      </c>
      <c r="H57">
        <v>957.6</v>
      </c>
    </row>
    <row r="58" spans="1:8">
      <c r="A58">
        <v>57</v>
      </c>
      <c r="B58">
        <v>86</v>
      </c>
      <c r="C58" t="s">
        <v>8</v>
      </c>
      <c r="D58" s="1">
        <v>45446</v>
      </c>
      <c r="E58" t="s">
        <v>15</v>
      </c>
      <c r="F58" t="s">
        <v>21</v>
      </c>
      <c r="G58" t="s">
        <v>16</v>
      </c>
      <c r="H58">
        <v>205.19</v>
      </c>
    </row>
    <row r="59" spans="1:8">
      <c r="A59">
        <v>58</v>
      </c>
      <c r="B59">
        <v>5</v>
      </c>
      <c r="C59" t="s">
        <v>19</v>
      </c>
      <c r="D59" t="s">
        <v>32</v>
      </c>
      <c r="E59" t="s">
        <v>9</v>
      </c>
      <c r="F59" t="s">
        <v>18</v>
      </c>
      <c r="G59" t="s">
        <v>20</v>
      </c>
      <c r="H59">
        <v>300.27</v>
      </c>
    </row>
    <row r="60" spans="1:8">
      <c r="A60">
        <v>59</v>
      </c>
      <c r="B60">
        <v>79</v>
      </c>
      <c r="C60" t="s">
        <v>8</v>
      </c>
      <c r="D60" s="1">
        <v>45568</v>
      </c>
      <c r="E60" t="s">
        <v>15</v>
      </c>
      <c r="F60" t="s">
        <v>18</v>
      </c>
      <c r="G60" t="s">
        <v>16</v>
      </c>
      <c r="H60">
        <v>671.22</v>
      </c>
    </row>
    <row r="61" spans="1:8">
      <c r="A61">
        <v>60</v>
      </c>
      <c r="B61">
        <v>87</v>
      </c>
      <c r="C61" t="s">
        <v>12</v>
      </c>
      <c r="D61" t="s">
        <v>52</v>
      </c>
      <c r="E61" t="s">
        <v>26</v>
      </c>
      <c r="F61" t="s">
        <v>10</v>
      </c>
      <c r="G61" t="s">
        <v>11</v>
      </c>
      <c r="H61">
        <v>395.1</v>
      </c>
    </row>
    <row r="62" spans="1:8">
      <c r="A62">
        <v>61</v>
      </c>
      <c r="B62">
        <v>60</v>
      </c>
      <c r="C62" t="s">
        <v>8</v>
      </c>
      <c r="D62" s="1">
        <v>45602</v>
      </c>
      <c r="E62" t="s">
        <v>9</v>
      </c>
      <c r="F62" t="s">
        <v>18</v>
      </c>
      <c r="G62" t="s">
        <v>11</v>
      </c>
      <c r="H62">
        <v>675.89</v>
      </c>
    </row>
    <row r="63" spans="1:8">
      <c r="A63">
        <v>62</v>
      </c>
      <c r="B63">
        <v>43</v>
      </c>
      <c r="C63" t="s">
        <v>19</v>
      </c>
      <c r="D63" s="1">
        <v>45507</v>
      </c>
      <c r="E63" t="s">
        <v>9</v>
      </c>
      <c r="F63" t="s">
        <v>21</v>
      </c>
      <c r="G63" t="s">
        <v>11</v>
      </c>
      <c r="H63">
        <v>523.02</v>
      </c>
    </row>
    <row r="64" spans="1:8">
      <c r="A64">
        <v>63</v>
      </c>
      <c r="B64">
        <v>52</v>
      </c>
      <c r="C64" t="s">
        <v>8</v>
      </c>
      <c r="D64" s="1">
        <v>45323</v>
      </c>
      <c r="E64" t="s">
        <v>26</v>
      </c>
      <c r="F64" t="s">
        <v>18</v>
      </c>
      <c r="G64" t="s">
        <v>20</v>
      </c>
      <c r="H64">
        <v>337.5</v>
      </c>
    </row>
    <row r="65" spans="1:8">
      <c r="A65">
        <v>64</v>
      </c>
      <c r="B65">
        <v>2</v>
      </c>
      <c r="C65" t="s">
        <v>19</v>
      </c>
      <c r="D65" s="1">
        <v>45597</v>
      </c>
      <c r="E65" t="s">
        <v>26</v>
      </c>
      <c r="F65" t="s">
        <v>10</v>
      </c>
      <c r="G65" t="s">
        <v>16</v>
      </c>
      <c r="H65">
        <v>830.89</v>
      </c>
    </row>
    <row r="66" spans="1:8">
      <c r="A66">
        <v>65</v>
      </c>
      <c r="B66">
        <v>22</v>
      </c>
      <c r="C66" t="s">
        <v>12</v>
      </c>
      <c r="D66" t="s">
        <v>53</v>
      </c>
      <c r="E66" t="s">
        <v>9</v>
      </c>
      <c r="F66" t="s">
        <v>18</v>
      </c>
      <c r="G66" t="s">
        <v>11</v>
      </c>
      <c r="H66">
        <v>84.97</v>
      </c>
    </row>
    <row r="67" spans="1:8">
      <c r="A67">
        <v>66</v>
      </c>
      <c r="B67">
        <v>31</v>
      </c>
      <c r="C67" t="s">
        <v>12</v>
      </c>
      <c r="D67" t="s">
        <v>54</v>
      </c>
      <c r="E67" t="s">
        <v>15</v>
      </c>
      <c r="F67" t="s">
        <v>10</v>
      </c>
      <c r="G67" t="s">
        <v>11</v>
      </c>
      <c r="H67">
        <v>771.96</v>
      </c>
    </row>
    <row r="68" spans="1:8">
      <c r="A68">
        <v>67</v>
      </c>
      <c r="B68">
        <v>87</v>
      </c>
      <c r="C68" t="s">
        <v>12</v>
      </c>
      <c r="D68" t="s">
        <v>55</v>
      </c>
      <c r="E68" t="s">
        <v>15</v>
      </c>
      <c r="F68" t="s">
        <v>10</v>
      </c>
      <c r="G68" t="s">
        <v>16</v>
      </c>
      <c r="H68">
        <v>46.43</v>
      </c>
    </row>
    <row r="69" spans="1:8">
      <c r="A69">
        <v>68</v>
      </c>
      <c r="B69">
        <v>11</v>
      </c>
      <c r="C69" t="s">
        <v>19</v>
      </c>
      <c r="D69" t="s">
        <v>53</v>
      </c>
      <c r="E69" t="s">
        <v>15</v>
      </c>
      <c r="F69" t="s">
        <v>10</v>
      </c>
      <c r="G69" t="s">
        <v>16</v>
      </c>
      <c r="H69">
        <v>31.91</v>
      </c>
    </row>
    <row r="70" spans="1:8">
      <c r="A70">
        <v>69</v>
      </c>
      <c r="B70">
        <v>33</v>
      </c>
      <c r="C70" t="s">
        <v>19</v>
      </c>
      <c r="D70" t="s">
        <v>50</v>
      </c>
      <c r="E70" t="s">
        <v>9</v>
      </c>
      <c r="F70" t="s">
        <v>21</v>
      </c>
      <c r="G70" t="s">
        <v>16</v>
      </c>
      <c r="H70">
        <v>845.8</v>
      </c>
    </row>
    <row r="71" spans="1:8">
      <c r="A71">
        <v>70</v>
      </c>
      <c r="B71">
        <v>17</v>
      </c>
      <c r="C71" t="s">
        <v>12</v>
      </c>
      <c r="D71" t="s">
        <v>34</v>
      </c>
      <c r="E71" t="s">
        <v>9</v>
      </c>
      <c r="F71" t="s">
        <v>10</v>
      </c>
      <c r="G71" t="s">
        <v>20</v>
      </c>
      <c r="H71">
        <v>729.55</v>
      </c>
    </row>
    <row r="72" spans="1:8">
      <c r="A72">
        <v>71</v>
      </c>
      <c r="B72">
        <v>71</v>
      </c>
      <c r="C72" t="s">
        <v>19</v>
      </c>
      <c r="D72" s="1">
        <v>45415</v>
      </c>
      <c r="E72" t="s">
        <v>26</v>
      </c>
      <c r="F72" t="s">
        <v>21</v>
      </c>
      <c r="G72" t="s">
        <v>16</v>
      </c>
      <c r="H72">
        <v>187.03</v>
      </c>
    </row>
    <row r="73" spans="1:8">
      <c r="A73">
        <v>72</v>
      </c>
      <c r="B73">
        <v>35</v>
      </c>
      <c r="C73" t="s">
        <v>8</v>
      </c>
      <c r="D73" t="s">
        <v>56</v>
      </c>
      <c r="E73" t="s">
        <v>9</v>
      </c>
      <c r="F73" t="s">
        <v>21</v>
      </c>
      <c r="G73" t="s">
        <v>16</v>
      </c>
      <c r="H73">
        <v>470.35</v>
      </c>
    </row>
    <row r="74" spans="1:8">
      <c r="A74">
        <v>73</v>
      </c>
      <c r="B74">
        <v>15</v>
      </c>
      <c r="C74" t="s">
        <v>12</v>
      </c>
      <c r="D74" t="s">
        <v>57</v>
      </c>
      <c r="E74" t="s">
        <v>15</v>
      </c>
      <c r="F74" t="s">
        <v>10</v>
      </c>
      <c r="G74" t="s">
        <v>11</v>
      </c>
      <c r="H74">
        <v>662.35</v>
      </c>
    </row>
    <row r="75" spans="1:8">
      <c r="A75">
        <v>74</v>
      </c>
      <c r="B75">
        <v>43</v>
      </c>
      <c r="C75" t="s">
        <v>12</v>
      </c>
      <c r="D75" s="1">
        <v>45386</v>
      </c>
      <c r="E75" t="s">
        <v>9</v>
      </c>
      <c r="F75" t="s">
        <v>18</v>
      </c>
      <c r="G75" t="s">
        <v>11</v>
      </c>
      <c r="H75">
        <v>509.97</v>
      </c>
    </row>
    <row r="76" spans="1:8">
      <c r="A76">
        <v>75</v>
      </c>
      <c r="B76">
        <v>2</v>
      </c>
      <c r="C76" t="s">
        <v>12</v>
      </c>
      <c r="D76" s="1">
        <v>45352</v>
      </c>
      <c r="E76" t="s">
        <v>9</v>
      </c>
      <c r="F76" t="s">
        <v>18</v>
      </c>
      <c r="G76" t="s">
        <v>20</v>
      </c>
      <c r="H76">
        <v>352.33</v>
      </c>
    </row>
    <row r="77" spans="1:8">
      <c r="A77">
        <v>76</v>
      </c>
      <c r="B77">
        <v>36</v>
      </c>
      <c r="C77" t="s">
        <v>12</v>
      </c>
      <c r="D77" t="s">
        <v>58</v>
      </c>
      <c r="E77" t="s">
        <v>26</v>
      </c>
      <c r="F77" t="s">
        <v>10</v>
      </c>
      <c r="G77" t="s">
        <v>20</v>
      </c>
      <c r="H77">
        <v>228.22</v>
      </c>
    </row>
    <row r="78" spans="1:8">
      <c r="A78">
        <v>77</v>
      </c>
      <c r="B78">
        <v>64</v>
      </c>
      <c r="C78" t="s">
        <v>12</v>
      </c>
      <c r="D78" s="1">
        <v>45445</v>
      </c>
      <c r="E78" t="s">
        <v>9</v>
      </c>
      <c r="F78" t="s">
        <v>18</v>
      </c>
      <c r="G78" t="s">
        <v>20</v>
      </c>
      <c r="H78">
        <v>632.45000000000005</v>
      </c>
    </row>
    <row r="79" spans="1:8">
      <c r="A79">
        <v>78</v>
      </c>
      <c r="B79">
        <v>28</v>
      </c>
      <c r="C79" t="s">
        <v>12</v>
      </c>
      <c r="D79" t="s">
        <v>28</v>
      </c>
      <c r="E79" t="s">
        <v>9</v>
      </c>
      <c r="F79" t="s">
        <v>18</v>
      </c>
      <c r="G79" t="s">
        <v>16</v>
      </c>
      <c r="H79">
        <v>975.87</v>
      </c>
    </row>
    <row r="80" spans="1:8">
      <c r="A80">
        <v>79</v>
      </c>
      <c r="B80">
        <v>69</v>
      </c>
      <c r="C80" t="s">
        <v>8</v>
      </c>
      <c r="D80" t="s">
        <v>44</v>
      </c>
      <c r="E80" t="s">
        <v>15</v>
      </c>
      <c r="F80" t="s">
        <v>21</v>
      </c>
      <c r="G80" t="s">
        <v>11</v>
      </c>
      <c r="H80">
        <v>967.14</v>
      </c>
    </row>
    <row r="81" spans="1:8">
      <c r="A81">
        <v>80</v>
      </c>
      <c r="B81">
        <v>75</v>
      </c>
      <c r="C81" t="s">
        <v>8</v>
      </c>
      <c r="D81" s="1">
        <v>45597</v>
      </c>
      <c r="E81" t="s">
        <v>26</v>
      </c>
      <c r="F81" t="s">
        <v>21</v>
      </c>
      <c r="G81" t="s">
        <v>16</v>
      </c>
      <c r="H81">
        <v>992.69</v>
      </c>
    </row>
    <row r="82" spans="1:8">
      <c r="A82">
        <v>81</v>
      </c>
      <c r="B82">
        <v>69</v>
      </c>
      <c r="C82" t="s">
        <v>12</v>
      </c>
      <c r="D82" t="s">
        <v>59</v>
      </c>
      <c r="E82" t="s">
        <v>26</v>
      </c>
      <c r="F82" t="s">
        <v>10</v>
      </c>
      <c r="G82" t="s">
        <v>20</v>
      </c>
      <c r="H82">
        <v>827.74</v>
      </c>
    </row>
    <row r="83" spans="1:8">
      <c r="A83">
        <v>82</v>
      </c>
      <c r="B83">
        <v>74</v>
      </c>
      <c r="C83" t="s">
        <v>8</v>
      </c>
      <c r="D83" s="1">
        <v>45326</v>
      </c>
      <c r="E83" t="s">
        <v>9</v>
      </c>
      <c r="F83" t="s">
        <v>18</v>
      </c>
      <c r="G83" t="s">
        <v>16</v>
      </c>
      <c r="H83">
        <v>270.97000000000003</v>
      </c>
    </row>
    <row r="84" spans="1:8">
      <c r="A84">
        <v>83</v>
      </c>
      <c r="B84">
        <v>69</v>
      </c>
      <c r="C84" t="s">
        <v>8</v>
      </c>
      <c r="D84" s="1">
        <v>45600</v>
      </c>
      <c r="E84" t="s">
        <v>26</v>
      </c>
      <c r="F84" t="s">
        <v>18</v>
      </c>
      <c r="G84" t="s">
        <v>11</v>
      </c>
      <c r="H84">
        <v>712.98</v>
      </c>
    </row>
    <row r="85" spans="1:8">
      <c r="A85">
        <v>84</v>
      </c>
      <c r="B85">
        <v>11</v>
      </c>
      <c r="C85" t="s">
        <v>8</v>
      </c>
      <c r="D85" t="s">
        <v>60</v>
      </c>
      <c r="E85" t="s">
        <v>9</v>
      </c>
      <c r="F85" t="s">
        <v>18</v>
      </c>
      <c r="G85" t="s">
        <v>20</v>
      </c>
      <c r="H85">
        <v>556.04999999999995</v>
      </c>
    </row>
    <row r="86" spans="1:8">
      <c r="A86">
        <v>85</v>
      </c>
      <c r="B86">
        <v>92</v>
      </c>
      <c r="C86" t="s">
        <v>8</v>
      </c>
      <c r="D86" t="s">
        <v>61</v>
      </c>
      <c r="E86" t="s">
        <v>9</v>
      </c>
      <c r="F86" t="s">
        <v>10</v>
      </c>
      <c r="G86" t="s">
        <v>20</v>
      </c>
      <c r="H86">
        <v>200.11</v>
      </c>
    </row>
    <row r="87" spans="1:8">
      <c r="A87">
        <v>86</v>
      </c>
      <c r="B87">
        <v>70</v>
      </c>
      <c r="C87" t="s">
        <v>8</v>
      </c>
      <c r="D87" t="s">
        <v>62</v>
      </c>
      <c r="E87" t="s">
        <v>9</v>
      </c>
      <c r="F87" t="s">
        <v>21</v>
      </c>
      <c r="G87" t="s">
        <v>16</v>
      </c>
      <c r="H87">
        <v>660.05</v>
      </c>
    </row>
    <row r="88" spans="1:8">
      <c r="A88">
        <v>87</v>
      </c>
      <c r="B88">
        <v>22</v>
      </c>
      <c r="C88" t="s">
        <v>8</v>
      </c>
      <c r="D88" t="s">
        <v>63</v>
      </c>
      <c r="E88" t="s">
        <v>9</v>
      </c>
      <c r="F88" t="s">
        <v>21</v>
      </c>
      <c r="G88" t="s">
        <v>20</v>
      </c>
      <c r="H88">
        <v>220.96</v>
      </c>
    </row>
    <row r="89" spans="1:8">
      <c r="A89">
        <v>88</v>
      </c>
      <c r="B89">
        <v>9</v>
      </c>
      <c r="C89" t="s">
        <v>12</v>
      </c>
      <c r="D89" s="1">
        <v>45537</v>
      </c>
      <c r="E89" t="s">
        <v>9</v>
      </c>
      <c r="F89" t="s">
        <v>18</v>
      </c>
      <c r="G89" t="s">
        <v>11</v>
      </c>
      <c r="H89">
        <v>776.54</v>
      </c>
    </row>
    <row r="90" spans="1:8">
      <c r="A90">
        <v>89</v>
      </c>
      <c r="B90">
        <v>6</v>
      </c>
      <c r="C90" t="s">
        <v>12</v>
      </c>
      <c r="D90" s="1">
        <v>45296</v>
      </c>
      <c r="E90" t="s">
        <v>26</v>
      </c>
      <c r="F90" t="s">
        <v>21</v>
      </c>
      <c r="G90" t="s">
        <v>11</v>
      </c>
      <c r="H90">
        <v>920.26</v>
      </c>
    </row>
    <row r="91" spans="1:8">
      <c r="A91">
        <v>90</v>
      </c>
      <c r="B91">
        <v>58</v>
      </c>
      <c r="C91" t="s">
        <v>8</v>
      </c>
      <c r="D91" t="s">
        <v>64</v>
      </c>
      <c r="E91" t="s">
        <v>15</v>
      </c>
      <c r="F91" t="s">
        <v>21</v>
      </c>
      <c r="G91" t="s">
        <v>11</v>
      </c>
      <c r="H91">
        <v>492.22</v>
      </c>
    </row>
    <row r="92" spans="1:8">
      <c r="A92">
        <v>91</v>
      </c>
      <c r="B92">
        <v>98</v>
      </c>
      <c r="C92" t="s">
        <v>19</v>
      </c>
      <c r="D92" s="1">
        <v>45476</v>
      </c>
      <c r="E92" t="s">
        <v>26</v>
      </c>
      <c r="F92" t="s">
        <v>18</v>
      </c>
      <c r="G92" t="s">
        <v>20</v>
      </c>
      <c r="H92">
        <v>513.45000000000005</v>
      </c>
    </row>
    <row r="93" spans="1:8">
      <c r="A93">
        <v>92</v>
      </c>
      <c r="B93">
        <v>93</v>
      </c>
      <c r="C93" t="s">
        <v>12</v>
      </c>
      <c r="D93" t="s">
        <v>65</v>
      </c>
      <c r="E93" t="s">
        <v>9</v>
      </c>
      <c r="F93" t="s">
        <v>21</v>
      </c>
      <c r="G93" t="s">
        <v>16</v>
      </c>
      <c r="H93">
        <v>286.27999999999997</v>
      </c>
    </row>
    <row r="94" spans="1:8">
      <c r="A94">
        <v>93</v>
      </c>
      <c r="B94">
        <v>10</v>
      </c>
      <c r="C94" t="s">
        <v>12</v>
      </c>
      <c r="D94" s="1">
        <v>45295</v>
      </c>
      <c r="E94" t="s">
        <v>26</v>
      </c>
      <c r="F94" t="s">
        <v>10</v>
      </c>
      <c r="G94" t="s">
        <v>16</v>
      </c>
      <c r="H94">
        <v>698.89</v>
      </c>
    </row>
    <row r="95" spans="1:8">
      <c r="A95">
        <v>94</v>
      </c>
      <c r="B95">
        <v>72</v>
      </c>
      <c r="C95" t="s">
        <v>19</v>
      </c>
      <c r="D95" s="1">
        <v>45324</v>
      </c>
      <c r="E95" t="s">
        <v>15</v>
      </c>
      <c r="F95" t="s">
        <v>18</v>
      </c>
      <c r="G95" t="s">
        <v>11</v>
      </c>
      <c r="H95">
        <v>555.25</v>
      </c>
    </row>
    <row r="96" spans="1:8">
      <c r="A96">
        <v>95</v>
      </c>
      <c r="B96">
        <v>36</v>
      </c>
      <c r="C96" t="s">
        <v>19</v>
      </c>
      <c r="D96" t="s">
        <v>66</v>
      </c>
      <c r="E96" t="s">
        <v>9</v>
      </c>
      <c r="F96" t="s">
        <v>21</v>
      </c>
      <c r="G96" t="s">
        <v>20</v>
      </c>
      <c r="H96">
        <v>465.92</v>
      </c>
    </row>
    <row r="97" spans="1:8">
      <c r="A97">
        <v>96</v>
      </c>
      <c r="B97">
        <v>11</v>
      </c>
      <c r="C97" t="s">
        <v>8</v>
      </c>
      <c r="D97" s="1">
        <v>45507</v>
      </c>
      <c r="E97" t="s">
        <v>9</v>
      </c>
      <c r="F97" t="s">
        <v>18</v>
      </c>
      <c r="G97" t="s">
        <v>20</v>
      </c>
      <c r="H97">
        <v>732.13</v>
      </c>
    </row>
    <row r="98" spans="1:8">
      <c r="A98">
        <v>97</v>
      </c>
      <c r="B98">
        <v>56</v>
      </c>
      <c r="C98" t="s">
        <v>8</v>
      </c>
      <c r="D98" t="s">
        <v>55</v>
      </c>
      <c r="E98" t="s">
        <v>9</v>
      </c>
      <c r="F98" t="s">
        <v>21</v>
      </c>
      <c r="G98" t="s">
        <v>16</v>
      </c>
      <c r="H98">
        <v>582.46</v>
      </c>
    </row>
    <row r="99" spans="1:8">
      <c r="A99">
        <v>98</v>
      </c>
      <c r="B99">
        <v>67</v>
      </c>
      <c r="C99" t="s">
        <v>19</v>
      </c>
      <c r="D99" s="1">
        <v>45568</v>
      </c>
      <c r="E99" t="s">
        <v>9</v>
      </c>
      <c r="F99" t="s">
        <v>21</v>
      </c>
      <c r="G99" t="s">
        <v>11</v>
      </c>
      <c r="H99">
        <v>647.70000000000005</v>
      </c>
    </row>
    <row r="100" spans="1:8">
      <c r="A100">
        <v>99</v>
      </c>
      <c r="B100">
        <v>67</v>
      </c>
      <c r="C100" t="s">
        <v>8</v>
      </c>
      <c r="D100" s="1">
        <v>45508</v>
      </c>
      <c r="E100" t="s">
        <v>9</v>
      </c>
      <c r="F100" t="s">
        <v>18</v>
      </c>
      <c r="G100" t="s">
        <v>11</v>
      </c>
      <c r="H100">
        <v>536.57000000000005</v>
      </c>
    </row>
    <row r="101" spans="1:8">
      <c r="A101">
        <v>100</v>
      </c>
      <c r="B101">
        <v>8</v>
      </c>
      <c r="C101" t="s">
        <v>12</v>
      </c>
      <c r="D101" t="s">
        <v>46</v>
      </c>
      <c r="E101" t="s">
        <v>26</v>
      </c>
      <c r="F101" t="s">
        <v>10</v>
      </c>
      <c r="G101" t="s">
        <v>11</v>
      </c>
      <c r="H101">
        <v>673.85</v>
      </c>
    </row>
    <row r="102" spans="1:8">
      <c r="A102">
        <v>101</v>
      </c>
      <c r="B102">
        <v>27</v>
      </c>
      <c r="C102" t="s">
        <v>8</v>
      </c>
      <c r="D102" t="s">
        <v>67</v>
      </c>
      <c r="E102" t="s">
        <v>15</v>
      </c>
      <c r="F102" t="s">
        <v>10</v>
      </c>
      <c r="G102" t="s">
        <v>20</v>
      </c>
      <c r="H102">
        <v>871.1</v>
      </c>
    </row>
    <row r="103" spans="1:8">
      <c r="A103">
        <v>102</v>
      </c>
      <c r="B103">
        <v>79</v>
      </c>
      <c r="C103" t="s">
        <v>8</v>
      </c>
      <c r="D103" t="s">
        <v>42</v>
      </c>
      <c r="E103" t="s">
        <v>15</v>
      </c>
      <c r="F103" t="s">
        <v>18</v>
      </c>
      <c r="G103" t="s">
        <v>11</v>
      </c>
      <c r="H103">
        <v>973.66</v>
      </c>
    </row>
    <row r="104" spans="1:8">
      <c r="A104">
        <v>103</v>
      </c>
      <c r="B104">
        <v>87</v>
      </c>
      <c r="C104" t="s">
        <v>12</v>
      </c>
      <c r="D104" t="s">
        <v>68</v>
      </c>
      <c r="E104" t="s">
        <v>15</v>
      </c>
      <c r="F104" t="s">
        <v>18</v>
      </c>
      <c r="G104" t="s">
        <v>11</v>
      </c>
      <c r="H104">
        <v>787.42</v>
      </c>
    </row>
    <row r="105" spans="1:8">
      <c r="A105">
        <v>104</v>
      </c>
      <c r="B105">
        <v>1</v>
      </c>
      <c r="C105" t="s">
        <v>8</v>
      </c>
      <c r="D105" t="s">
        <v>42</v>
      </c>
      <c r="E105" t="s">
        <v>26</v>
      </c>
      <c r="F105" t="s">
        <v>10</v>
      </c>
      <c r="G105" t="s">
        <v>20</v>
      </c>
      <c r="H105">
        <v>338.48</v>
      </c>
    </row>
    <row r="106" spans="1:8">
      <c r="A106">
        <v>105</v>
      </c>
      <c r="B106">
        <v>49</v>
      </c>
      <c r="C106" t="s">
        <v>8</v>
      </c>
      <c r="D106" t="s">
        <v>38</v>
      </c>
      <c r="E106" t="s">
        <v>9</v>
      </c>
      <c r="F106" t="s">
        <v>18</v>
      </c>
      <c r="G106" t="s">
        <v>11</v>
      </c>
      <c r="H106">
        <v>922.07</v>
      </c>
    </row>
    <row r="107" spans="1:8">
      <c r="A107">
        <v>106</v>
      </c>
      <c r="B107">
        <v>9</v>
      </c>
      <c r="C107" t="s">
        <v>12</v>
      </c>
      <c r="D107" t="s">
        <v>30</v>
      </c>
      <c r="E107" t="s">
        <v>26</v>
      </c>
      <c r="F107" t="s">
        <v>21</v>
      </c>
      <c r="G107" t="s">
        <v>20</v>
      </c>
      <c r="H107">
        <v>137.41</v>
      </c>
    </row>
    <row r="108" spans="1:8">
      <c r="A108">
        <v>107</v>
      </c>
      <c r="B108">
        <v>63</v>
      </c>
      <c r="C108" t="s">
        <v>8</v>
      </c>
      <c r="D108" t="s">
        <v>69</v>
      </c>
      <c r="E108" t="s">
        <v>26</v>
      </c>
      <c r="F108" t="s">
        <v>18</v>
      </c>
      <c r="G108" t="s">
        <v>16</v>
      </c>
      <c r="H108">
        <v>17.89</v>
      </c>
    </row>
    <row r="109" spans="1:8">
      <c r="A109">
        <v>108</v>
      </c>
      <c r="B109">
        <v>97</v>
      </c>
      <c r="C109" t="s">
        <v>19</v>
      </c>
      <c r="D109" t="s">
        <v>24</v>
      </c>
      <c r="E109" t="s">
        <v>26</v>
      </c>
      <c r="F109" t="s">
        <v>21</v>
      </c>
      <c r="G109" t="s">
        <v>20</v>
      </c>
      <c r="H109">
        <v>210.3</v>
      </c>
    </row>
    <row r="110" spans="1:8">
      <c r="A110">
        <v>109</v>
      </c>
      <c r="B110">
        <v>1</v>
      </c>
      <c r="C110" t="s">
        <v>19</v>
      </c>
      <c r="D110" t="s">
        <v>70</v>
      </c>
      <c r="E110" t="s">
        <v>9</v>
      </c>
      <c r="F110" t="s">
        <v>18</v>
      </c>
      <c r="G110" t="s">
        <v>16</v>
      </c>
      <c r="H110">
        <v>978.5</v>
      </c>
    </row>
    <row r="111" spans="1:8">
      <c r="A111">
        <v>110</v>
      </c>
      <c r="B111">
        <v>44</v>
      </c>
      <c r="C111" t="s">
        <v>12</v>
      </c>
      <c r="D111" s="1">
        <v>45415</v>
      </c>
      <c r="E111" t="s">
        <v>26</v>
      </c>
      <c r="F111" t="s">
        <v>10</v>
      </c>
      <c r="G111" t="s">
        <v>11</v>
      </c>
      <c r="H111">
        <v>381.15</v>
      </c>
    </row>
    <row r="112" spans="1:8">
      <c r="A112">
        <v>111</v>
      </c>
      <c r="B112">
        <v>27</v>
      </c>
      <c r="C112" t="s">
        <v>8</v>
      </c>
      <c r="D112" s="1">
        <v>45448</v>
      </c>
      <c r="E112" t="s">
        <v>9</v>
      </c>
      <c r="F112" t="s">
        <v>21</v>
      </c>
      <c r="G112" t="s">
        <v>20</v>
      </c>
      <c r="H112">
        <v>302.42</v>
      </c>
    </row>
    <row r="113" spans="1:8">
      <c r="A113">
        <v>112</v>
      </c>
      <c r="B113">
        <v>9</v>
      </c>
      <c r="C113" t="s">
        <v>19</v>
      </c>
      <c r="D113" s="1">
        <v>45627</v>
      </c>
      <c r="E113" t="s">
        <v>9</v>
      </c>
      <c r="F113" t="s">
        <v>10</v>
      </c>
      <c r="G113" t="s">
        <v>16</v>
      </c>
      <c r="H113">
        <v>813.46</v>
      </c>
    </row>
    <row r="114" spans="1:8">
      <c r="A114">
        <v>113</v>
      </c>
      <c r="B114">
        <v>67</v>
      </c>
      <c r="C114" t="s">
        <v>19</v>
      </c>
      <c r="D114" s="1">
        <v>45508</v>
      </c>
      <c r="E114" t="s">
        <v>26</v>
      </c>
      <c r="F114" t="s">
        <v>10</v>
      </c>
      <c r="G114" t="s">
        <v>16</v>
      </c>
      <c r="H114">
        <v>998.27</v>
      </c>
    </row>
    <row r="115" spans="1:8">
      <c r="A115">
        <v>114</v>
      </c>
      <c r="B115">
        <v>83</v>
      </c>
      <c r="C115" t="s">
        <v>12</v>
      </c>
      <c r="D115" t="s">
        <v>67</v>
      </c>
      <c r="E115" t="s">
        <v>9</v>
      </c>
      <c r="F115" t="s">
        <v>18</v>
      </c>
      <c r="G115" t="s">
        <v>20</v>
      </c>
      <c r="H115">
        <v>498.47</v>
      </c>
    </row>
    <row r="116" spans="1:8">
      <c r="A116">
        <v>115</v>
      </c>
      <c r="B116">
        <v>66</v>
      </c>
      <c r="C116" t="s">
        <v>12</v>
      </c>
      <c r="D116" t="s">
        <v>38</v>
      </c>
      <c r="E116" t="s">
        <v>15</v>
      </c>
      <c r="F116" t="s">
        <v>21</v>
      </c>
      <c r="G116" t="s">
        <v>11</v>
      </c>
      <c r="H116">
        <v>362.23</v>
      </c>
    </row>
    <row r="117" spans="1:8">
      <c r="A117">
        <v>116</v>
      </c>
      <c r="B117">
        <v>36</v>
      </c>
      <c r="C117" t="s">
        <v>19</v>
      </c>
      <c r="D117" s="1">
        <v>45536</v>
      </c>
      <c r="E117" t="s">
        <v>15</v>
      </c>
      <c r="F117" t="s">
        <v>18</v>
      </c>
      <c r="G117" t="s">
        <v>11</v>
      </c>
      <c r="H117">
        <v>194.79</v>
      </c>
    </row>
    <row r="118" spans="1:8">
      <c r="A118">
        <v>117</v>
      </c>
      <c r="B118">
        <v>64</v>
      </c>
      <c r="C118" t="s">
        <v>19</v>
      </c>
      <c r="D118" s="1">
        <v>45597</v>
      </c>
      <c r="E118" t="s">
        <v>26</v>
      </c>
      <c r="F118" t="s">
        <v>21</v>
      </c>
      <c r="G118" t="s">
        <v>11</v>
      </c>
      <c r="H118">
        <v>677.65</v>
      </c>
    </row>
    <row r="119" spans="1:8">
      <c r="A119">
        <v>118</v>
      </c>
      <c r="B119">
        <v>66</v>
      </c>
      <c r="C119" t="s">
        <v>8</v>
      </c>
      <c r="D119" s="1">
        <v>45569</v>
      </c>
      <c r="E119" t="s">
        <v>26</v>
      </c>
      <c r="F119" t="s">
        <v>18</v>
      </c>
      <c r="G119" t="s">
        <v>20</v>
      </c>
      <c r="H119">
        <v>310.8</v>
      </c>
    </row>
    <row r="120" spans="1:8">
      <c r="A120">
        <v>119</v>
      </c>
      <c r="B120">
        <v>99</v>
      </c>
      <c r="C120" t="s">
        <v>8</v>
      </c>
      <c r="D120" s="1">
        <v>45415</v>
      </c>
      <c r="E120" t="s">
        <v>26</v>
      </c>
      <c r="F120" t="s">
        <v>10</v>
      </c>
      <c r="G120" t="s">
        <v>11</v>
      </c>
      <c r="H120">
        <v>717.21</v>
      </c>
    </row>
    <row r="121" spans="1:8">
      <c r="A121">
        <v>120</v>
      </c>
      <c r="B121">
        <v>80</v>
      </c>
      <c r="C121" t="s">
        <v>12</v>
      </c>
      <c r="D121" s="1">
        <v>45507</v>
      </c>
      <c r="E121" t="s">
        <v>9</v>
      </c>
      <c r="F121" t="s">
        <v>18</v>
      </c>
      <c r="G121" t="s">
        <v>20</v>
      </c>
      <c r="H121">
        <v>641.58000000000004</v>
      </c>
    </row>
    <row r="122" spans="1:8">
      <c r="A122">
        <v>121</v>
      </c>
      <c r="B122">
        <v>86</v>
      </c>
      <c r="C122" t="s">
        <v>8</v>
      </c>
      <c r="D122" s="1">
        <v>45541</v>
      </c>
      <c r="E122" t="s">
        <v>15</v>
      </c>
      <c r="F122" t="s">
        <v>10</v>
      </c>
      <c r="G122" t="s">
        <v>20</v>
      </c>
      <c r="H122">
        <v>520.84</v>
      </c>
    </row>
    <row r="123" spans="1:8">
      <c r="A123">
        <v>122</v>
      </c>
      <c r="B123">
        <v>51</v>
      </c>
      <c r="C123" t="s">
        <v>8</v>
      </c>
      <c r="D123" t="s">
        <v>53</v>
      </c>
      <c r="E123" t="s">
        <v>26</v>
      </c>
      <c r="F123" t="s">
        <v>18</v>
      </c>
      <c r="G123" t="s">
        <v>20</v>
      </c>
      <c r="H123">
        <v>271.18</v>
      </c>
    </row>
    <row r="124" spans="1:8">
      <c r="A124">
        <v>123</v>
      </c>
      <c r="B124">
        <v>79</v>
      </c>
      <c r="C124" t="s">
        <v>19</v>
      </c>
      <c r="D124" s="1">
        <v>45384</v>
      </c>
      <c r="E124" t="s">
        <v>15</v>
      </c>
      <c r="F124" t="s">
        <v>10</v>
      </c>
      <c r="G124" t="s">
        <v>20</v>
      </c>
      <c r="H124">
        <v>657.81</v>
      </c>
    </row>
    <row r="125" spans="1:8">
      <c r="A125">
        <v>124</v>
      </c>
      <c r="B125">
        <v>100</v>
      </c>
      <c r="C125" t="s">
        <v>12</v>
      </c>
      <c r="D125" t="s">
        <v>58</v>
      </c>
      <c r="E125" t="s">
        <v>15</v>
      </c>
      <c r="F125" t="s">
        <v>21</v>
      </c>
      <c r="G125" t="s">
        <v>20</v>
      </c>
      <c r="H125">
        <v>620.66</v>
      </c>
    </row>
    <row r="126" spans="1:8">
      <c r="A126">
        <v>125</v>
      </c>
      <c r="B126">
        <v>86</v>
      </c>
      <c r="C126" t="s">
        <v>19</v>
      </c>
      <c r="D126" s="1">
        <v>45568</v>
      </c>
      <c r="E126" t="s">
        <v>26</v>
      </c>
      <c r="F126" t="s">
        <v>18</v>
      </c>
      <c r="G126" t="s">
        <v>11</v>
      </c>
      <c r="H126">
        <v>533.03</v>
      </c>
    </row>
    <row r="127" spans="1:8">
      <c r="A127">
        <v>126</v>
      </c>
      <c r="B127">
        <v>29</v>
      </c>
      <c r="C127" t="s">
        <v>8</v>
      </c>
      <c r="D127" s="1">
        <v>45293</v>
      </c>
      <c r="E127" t="s">
        <v>26</v>
      </c>
      <c r="F127" t="s">
        <v>10</v>
      </c>
      <c r="G127" t="s">
        <v>11</v>
      </c>
      <c r="H127">
        <v>21.77</v>
      </c>
    </row>
    <row r="128" spans="1:8">
      <c r="A128">
        <v>127</v>
      </c>
      <c r="B128">
        <v>68</v>
      </c>
      <c r="C128" t="s">
        <v>19</v>
      </c>
      <c r="D128" t="s">
        <v>50</v>
      </c>
      <c r="E128" t="s">
        <v>26</v>
      </c>
      <c r="F128" t="s">
        <v>10</v>
      </c>
      <c r="G128" t="s">
        <v>20</v>
      </c>
      <c r="H128">
        <v>302.22000000000003</v>
      </c>
    </row>
    <row r="129" spans="1:8">
      <c r="A129">
        <v>128</v>
      </c>
      <c r="B129">
        <v>92</v>
      </c>
      <c r="C129" t="s">
        <v>19</v>
      </c>
      <c r="D129" s="1">
        <v>45325</v>
      </c>
      <c r="E129" t="s">
        <v>15</v>
      </c>
      <c r="F129" t="s">
        <v>21</v>
      </c>
      <c r="G129" t="s">
        <v>16</v>
      </c>
      <c r="H129">
        <v>895.38</v>
      </c>
    </row>
    <row r="130" spans="1:8">
      <c r="A130">
        <v>129</v>
      </c>
      <c r="B130">
        <v>14</v>
      </c>
      <c r="C130" t="s">
        <v>19</v>
      </c>
      <c r="D130" t="s">
        <v>28</v>
      </c>
      <c r="E130" t="s">
        <v>26</v>
      </c>
      <c r="F130" t="s">
        <v>18</v>
      </c>
      <c r="G130" t="s">
        <v>11</v>
      </c>
      <c r="H130">
        <v>241.61</v>
      </c>
    </row>
    <row r="131" spans="1:8">
      <c r="A131">
        <v>130</v>
      </c>
      <c r="B131">
        <v>72</v>
      </c>
      <c r="C131" t="s">
        <v>19</v>
      </c>
      <c r="D131" s="1">
        <v>45447</v>
      </c>
      <c r="E131" t="s">
        <v>15</v>
      </c>
      <c r="F131" t="s">
        <v>18</v>
      </c>
      <c r="G131" t="s">
        <v>16</v>
      </c>
      <c r="H131">
        <v>878.46</v>
      </c>
    </row>
    <row r="132" spans="1:8">
      <c r="A132">
        <v>131</v>
      </c>
      <c r="B132">
        <v>61</v>
      </c>
      <c r="C132" t="s">
        <v>12</v>
      </c>
      <c r="D132" t="s">
        <v>40</v>
      </c>
      <c r="E132" t="s">
        <v>15</v>
      </c>
      <c r="F132" t="s">
        <v>18</v>
      </c>
      <c r="G132" t="s">
        <v>11</v>
      </c>
      <c r="H132">
        <v>268.08</v>
      </c>
    </row>
    <row r="133" spans="1:8">
      <c r="A133">
        <v>132</v>
      </c>
      <c r="B133">
        <v>63</v>
      </c>
      <c r="C133" t="s">
        <v>8</v>
      </c>
      <c r="D133" t="s">
        <v>71</v>
      </c>
      <c r="E133" t="s">
        <v>26</v>
      </c>
      <c r="F133" t="s">
        <v>18</v>
      </c>
      <c r="G133" t="s">
        <v>11</v>
      </c>
      <c r="H133">
        <v>492.32</v>
      </c>
    </row>
    <row r="134" spans="1:8">
      <c r="A134">
        <v>133</v>
      </c>
      <c r="B134">
        <v>86</v>
      </c>
      <c r="C134" t="s">
        <v>8</v>
      </c>
      <c r="D134" t="s">
        <v>72</v>
      </c>
      <c r="E134" t="s">
        <v>26</v>
      </c>
      <c r="F134" t="s">
        <v>21</v>
      </c>
      <c r="G134" t="s">
        <v>20</v>
      </c>
      <c r="H134">
        <v>379.78</v>
      </c>
    </row>
    <row r="135" spans="1:8">
      <c r="A135">
        <v>134</v>
      </c>
      <c r="B135">
        <v>98</v>
      </c>
      <c r="C135" t="s">
        <v>19</v>
      </c>
      <c r="D135" s="1">
        <v>45353</v>
      </c>
      <c r="E135" t="s">
        <v>26</v>
      </c>
      <c r="F135" t="s">
        <v>21</v>
      </c>
      <c r="G135" t="s">
        <v>11</v>
      </c>
      <c r="H135">
        <v>498.71</v>
      </c>
    </row>
    <row r="136" spans="1:8">
      <c r="A136">
        <v>135</v>
      </c>
      <c r="B136">
        <v>61</v>
      </c>
      <c r="C136" t="s">
        <v>19</v>
      </c>
      <c r="D136" t="s">
        <v>14</v>
      </c>
      <c r="E136" t="s">
        <v>15</v>
      </c>
      <c r="F136" t="s">
        <v>21</v>
      </c>
      <c r="G136" t="s">
        <v>16</v>
      </c>
      <c r="H136">
        <v>379.01</v>
      </c>
    </row>
    <row r="137" spans="1:8">
      <c r="A137">
        <v>136</v>
      </c>
      <c r="B137">
        <v>67</v>
      </c>
      <c r="C137" t="s">
        <v>12</v>
      </c>
      <c r="D137" t="s">
        <v>73</v>
      </c>
      <c r="E137" t="s">
        <v>15</v>
      </c>
      <c r="F137" t="s">
        <v>10</v>
      </c>
      <c r="G137" t="s">
        <v>16</v>
      </c>
      <c r="H137">
        <v>79.52</v>
      </c>
    </row>
    <row r="138" spans="1:8">
      <c r="A138">
        <v>137</v>
      </c>
      <c r="B138">
        <v>2</v>
      </c>
      <c r="C138" t="s">
        <v>12</v>
      </c>
      <c r="D138" t="s">
        <v>74</v>
      </c>
      <c r="E138" t="s">
        <v>15</v>
      </c>
      <c r="F138" t="s">
        <v>18</v>
      </c>
      <c r="G138" t="s">
        <v>16</v>
      </c>
      <c r="H138">
        <v>602.25</v>
      </c>
    </row>
    <row r="139" spans="1:8">
      <c r="A139">
        <v>138</v>
      </c>
      <c r="B139">
        <v>11</v>
      </c>
      <c r="C139" t="s">
        <v>8</v>
      </c>
      <c r="D139" s="1">
        <v>45415</v>
      </c>
      <c r="E139" t="s">
        <v>9</v>
      </c>
      <c r="F139" t="s">
        <v>18</v>
      </c>
      <c r="G139" t="s">
        <v>16</v>
      </c>
      <c r="H139">
        <v>575.71</v>
      </c>
    </row>
    <row r="140" spans="1:8">
      <c r="A140">
        <v>139</v>
      </c>
      <c r="B140">
        <v>58</v>
      </c>
      <c r="C140" t="s">
        <v>19</v>
      </c>
      <c r="D140" t="s">
        <v>60</v>
      </c>
      <c r="E140" t="s">
        <v>26</v>
      </c>
      <c r="F140" t="s">
        <v>18</v>
      </c>
      <c r="G140" t="s">
        <v>11</v>
      </c>
      <c r="H140">
        <v>760.33</v>
      </c>
    </row>
    <row r="141" spans="1:8">
      <c r="A141">
        <v>140</v>
      </c>
      <c r="B141">
        <v>68</v>
      </c>
      <c r="C141" t="s">
        <v>12</v>
      </c>
      <c r="D141" s="1">
        <v>45386</v>
      </c>
      <c r="E141" t="s">
        <v>15</v>
      </c>
      <c r="F141" t="s">
        <v>18</v>
      </c>
      <c r="G141" t="s">
        <v>20</v>
      </c>
      <c r="H141">
        <v>955.54</v>
      </c>
    </row>
    <row r="142" spans="1:8">
      <c r="A142">
        <v>141</v>
      </c>
      <c r="B142">
        <v>28</v>
      </c>
      <c r="C142" t="s">
        <v>19</v>
      </c>
      <c r="D142" s="1">
        <v>45444</v>
      </c>
      <c r="E142" t="s">
        <v>15</v>
      </c>
      <c r="F142" t="s">
        <v>10</v>
      </c>
      <c r="G142" t="s">
        <v>11</v>
      </c>
      <c r="H142">
        <v>679.88</v>
      </c>
    </row>
    <row r="143" spans="1:8">
      <c r="A143">
        <v>142</v>
      </c>
      <c r="B143">
        <v>63</v>
      </c>
      <c r="C143" t="s">
        <v>8</v>
      </c>
      <c r="D143" t="s">
        <v>75</v>
      </c>
      <c r="E143" t="s">
        <v>15</v>
      </c>
      <c r="F143" t="s">
        <v>18</v>
      </c>
      <c r="G143" t="s">
        <v>11</v>
      </c>
      <c r="H143">
        <v>71.91</v>
      </c>
    </row>
    <row r="144" spans="1:8">
      <c r="A144">
        <v>143</v>
      </c>
      <c r="B144">
        <v>100</v>
      </c>
      <c r="C144" t="s">
        <v>12</v>
      </c>
      <c r="D144" t="s">
        <v>45</v>
      </c>
      <c r="E144" t="s">
        <v>15</v>
      </c>
      <c r="F144" t="s">
        <v>21</v>
      </c>
      <c r="G144" t="s">
        <v>20</v>
      </c>
      <c r="H144">
        <v>916.79</v>
      </c>
    </row>
    <row r="145" spans="1:8">
      <c r="A145">
        <v>144</v>
      </c>
      <c r="B145">
        <v>45</v>
      </c>
      <c r="C145" t="s">
        <v>19</v>
      </c>
      <c r="D145" t="s">
        <v>76</v>
      </c>
      <c r="E145" t="s">
        <v>15</v>
      </c>
      <c r="F145" t="s">
        <v>21</v>
      </c>
      <c r="G145" t="s">
        <v>20</v>
      </c>
      <c r="H145">
        <v>558.34</v>
      </c>
    </row>
    <row r="146" spans="1:8">
      <c r="A146">
        <v>145</v>
      </c>
      <c r="B146">
        <v>25</v>
      </c>
      <c r="C146" t="s">
        <v>8</v>
      </c>
      <c r="D146" t="s">
        <v>77</v>
      </c>
      <c r="E146" t="s">
        <v>15</v>
      </c>
      <c r="F146" t="s">
        <v>10</v>
      </c>
      <c r="G146" t="s">
        <v>20</v>
      </c>
      <c r="H146">
        <v>23.02</v>
      </c>
    </row>
    <row r="147" spans="1:8">
      <c r="A147">
        <v>146</v>
      </c>
      <c r="B147">
        <v>43</v>
      </c>
      <c r="C147" t="s">
        <v>19</v>
      </c>
      <c r="D147" t="s">
        <v>13</v>
      </c>
      <c r="E147" t="s">
        <v>15</v>
      </c>
      <c r="F147" t="s">
        <v>10</v>
      </c>
      <c r="G147" t="s">
        <v>11</v>
      </c>
      <c r="H147">
        <v>346.23</v>
      </c>
    </row>
    <row r="148" spans="1:8">
      <c r="A148">
        <v>147</v>
      </c>
      <c r="B148">
        <v>45</v>
      </c>
      <c r="C148" t="s">
        <v>8</v>
      </c>
      <c r="D148" s="1">
        <v>45416</v>
      </c>
      <c r="E148" t="s">
        <v>15</v>
      </c>
      <c r="F148" t="s">
        <v>18</v>
      </c>
      <c r="G148" t="s">
        <v>16</v>
      </c>
      <c r="H148">
        <v>926.31</v>
      </c>
    </row>
    <row r="149" spans="1:8">
      <c r="A149">
        <v>148</v>
      </c>
      <c r="B149">
        <v>84</v>
      </c>
      <c r="C149" t="s">
        <v>19</v>
      </c>
      <c r="D149" t="s">
        <v>78</v>
      </c>
      <c r="E149" t="s">
        <v>15</v>
      </c>
      <c r="F149" t="s">
        <v>18</v>
      </c>
      <c r="G149" t="s">
        <v>16</v>
      </c>
      <c r="H149">
        <v>783.88</v>
      </c>
    </row>
    <row r="150" spans="1:8">
      <c r="A150">
        <v>149</v>
      </c>
      <c r="B150">
        <v>41</v>
      </c>
      <c r="C150" t="s">
        <v>19</v>
      </c>
      <c r="D150" t="s">
        <v>67</v>
      </c>
      <c r="E150" t="s">
        <v>26</v>
      </c>
      <c r="F150" t="s">
        <v>21</v>
      </c>
      <c r="G150" t="s">
        <v>16</v>
      </c>
      <c r="H150">
        <v>747.18</v>
      </c>
    </row>
    <row r="151" spans="1:8">
      <c r="A151">
        <v>150</v>
      </c>
      <c r="B151">
        <v>53</v>
      </c>
      <c r="C151" t="s">
        <v>12</v>
      </c>
      <c r="D151" t="s">
        <v>79</v>
      </c>
      <c r="E151" t="s">
        <v>26</v>
      </c>
      <c r="F151" t="s">
        <v>18</v>
      </c>
      <c r="G151" t="s">
        <v>20</v>
      </c>
      <c r="H151">
        <v>415.84</v>
      </c>
    </row>
    <row r="152" spans="1:8">
      <c r="A152">
        <v>151</v>
      </c>
      <c r="B152">
        <v>61</v>
      </c>
      <c r="C152" t="s">
        <v>8</v>
      </c>
      <c r="D152" s="1">
        <v>45479</v>
      </c>
      <c r="E152" t="s">
        <v>9</v>
      </c>
      <c r="F152" t="s">
        <v>10</v>
      </c>
      <c r="G152" t="s">
        <v>11</v>
      </c>
      <c r="H152">
        <v>502.15</v>
      </c>
    </row>
    <row r="153" spans="1:8">
      <c r="A153">
        <v>152</v>
      </c>
      <c r="B153">
        <v>97</v>
      </c>
      <c r="C153" t="s">
        <v>8</v>
      </c>
      <c r="D153" t="s">
        <v>80</v>
      </c>
      <c r="E153" t="s">
        <v>15</v>
      </c>
      <c r="F153" t="s">
        <v>21</v>
      </c>
      <c r="G153" t="s">
        <v>20</v>
      </c>
      <c r="H153">
        <v>94.7</v>
      </c>
    </row>
    <row r="154" spans="1:8">
      <c r="A154">
        <v>153</v>
      </c>
      <c r="B154">
        <v>63</v>
      </c>
      <c r="C154" t="s">
        <v>19</v>
      </c>
      <c r="D154" s="1">
        <v>45536</v>
      </c>
      <c r="E154" t="s">
        <v>26</v>
      </c>
      <c r="F154" t="s">
        <v>10</v>
      </c>
      <c r="G154" t="s">
        <v>20</v>
      </c>
      <c r="H154">
        <v>426.04</v>
      </c>
    </row>
    <row r="155" spans="1:8">
      <c r="A155">
        <v>154</v>
      </c>
      <c r="B155">
        <v>75</v>
      </c>
      <c r="C155" t="s">
        <v>19</v>
      </c>
      <c r="D155" s="1">
        <v>45356</v>
      </c>
      <c r="E155" t="s">
        <v>26</v>
      </c>
      <c r="F155" t="s">
        <v>21</v>
      </c>
      <c r="G155" t="s">
        <v>16</v>
      </c>
      <c r="H155">
        <v>380.52</v>
      </c>
    </row>
    <row r="156" spans="1:8">
      <c r="A156">
        <v>155</v>
      </c>
      <c r="B156">
        <v>10</v>
      </c>
      <c r="C156" t="s">
        <v>8</v>
      </c>
      <c r="D156" t="s">
        <v>81</v>
      </c>
      <c r="E156" t="s">
        <v>9</v>
      </c>
      <c r="F156" t="s">
        <v>10</v>
      </c>
      <c r="G156" t="s">
        <v>11</v>
      </c>
      <c r="H156">
        <v>935.64</v>
      </c>
    </row>
    <row r="157" spans="1:8">
      <c r="A157">
        <v>156</v>
      </c>
      <c r="B157">
        <v>56</v>
      </c>
      <c r="C157" t="s">
        <v>12</v>
      </c>
      <c r="D157" t="s">
        <v>31</v>
      </c>
      <c r="E157" t="s">
        <v>15</v>
      </c>
      <c r="F157" t="s">
        <v>10</v>
      </c>
      <c r="G157" t="s">
        <v>20</v>
      </c>
      <c r="H157">
        <v>595.9</v>
      </c>
    </row>
    <row r="158" spans="1:8">
      <c r="A158">
        <v>157</v>
      </c>
      <c r="B158">
        <v>96</v>
      </c>
      <c r="C158" t="s">
        <v>12</v>
      </c>
      <c r="D158" s="1">
        <v>45478</v>
      </c>
      <c r="E158" t="s">
        <v>26</v>
      </c>
      <c r="F158" t="s">
        <v>10</v>
      </c>
      <c r="G158" t="s">
        <v>20</v>
      </c>
      <c r="H158">
        <v>788.22</v>
      </c>
    </row>
    <row r="159" spans="1:8">
      <c r="A159">
        <v>158</v>
      </c>
      <c r="B159">
        <v>96</v>
      </c>
      <c r="C159" t="s">
        <v>12</v>
      </c>
      <c r="D159" t="s">
        <v>77</v>
      </c>
      <c r="E159" t="s">
        <v>26</v>
      </c>
      <c r="F159" t="s">
        <v>18</v>
      </c>
      <c r="G159" t="s">
        <v>11</v>
      </c>
      <c r="H159">
        <v>465.74</v>
      </c>
    </row>
    <row r="160" spans="1:8">
      <c r="A160">
        <v>159</v>
      </c>
      <c r="B160">
        <v>77</v>
      </c>
      <c r="C160" t="s">
        <v>8</v>
      </c>
      <c r="D160" t="s">
        <v>50</v>
      </c>
      <c r="E160" t="s">
        <v>15</v>
      </c>
      <c r="F160" t="s">
        <v>21</v>
      </c>
      <c r="G160" t="s">
        <v>16</v>
      </c>
      <c r="H160">
        <v>661.8</v>
      </c>
    </row>
    <row r="161" spans="1:8">
      <c r="A161">
        <v>160</v>
      </c>
      <c r="B161">
        <v>91</v>
      </c>
      <c r="C161" t="s">
        <v>8</v>
      </c>
      <c r="D161" t="s">
        <v>82</v>
      </c>
      <c r="E161" t="s">
        <v>26</v>
      </c>
      <c r="F161" t="s">
        <v>21</v>
      </c>
      <c r="G161" t="s">
        <v>20</v>
      </c>
      <c r="H161">
        <v>532.77</v>
      </c>
    </row>
    <row r="162" spans="1:8">
      <c r="A162">
        <v>161</v>
      </c>
      <c r="B162">
        <v>56</v>
      </c>
      <c r="C162" t="s">
        <v>19</v>
      </c>
      <c r="D162" t="s">
        <v>31</v>
      </c>
      <c r="E162" t="s">
        <v>9</v>
      </c>
      <c r="F162" t="s">
        <v>10</v>
      </c>
      <c r="G162" t="s">
        <v>11</v>
      </c>
      <c r="H162">
        <v>612.03</v>
      </c>
    </row>
    <row r="163" spans="1:8">
      <c r="A163">
        <v>162</v>
      </c>
      <c r="B163">
        <v>56</v>
      </c>
      <c r="C163" t="s">
        <v>12</v>
      </c>
      <c r="D163" s="1">
        <v>45537</v>
      </c>
      <c r="E163" t="s">
        <v>9</v>
      </c>
      <c r="F163" t="s">
        <v>21</v>
      </c>
      <c r="G163" t="s">
        <v>20</v>
      </c>
      <c r="H163">
        <v>614.11</v>
      </c>
    </row>
    <row r="164" spans="1:8">
      <c r="A164">
        <v>163</v>
      </c>
      <c r="B164">
        <v>12</v>
      </c>
      <c r="C164" t="s">
        <v>19</v>
      </c>
      <c r="D164" t="s">
        <v>83</v>
      </c>
      <c r="E164" t="s">
        <v>26</v>
      </c>
      <c r="F164" t="s">
        <v>10</v>
      </c>
      <c r="G164" t="s">
        <v>20</v>
      </c>
      <c r="H164">
        <v>238.39</v>
      </c>
    </row>
    <row r="165" spans="1:8">
      <c r="A165">
        <v>164</v>
      </c>
      <c r="B165">
        <v>6</v>
      </c>
      <c r="C165" t="s">
        <v>8</v>
      </c>
      <c r="D165" t="s">
        <v>84</v>
      </c>
      <c r="E165" t="s">
        <v>15</v>
      </c>
      <c r="F165" t="s">
        <v>10</v>
      </c>
      <c r="G165" t="s">
        <v>11</v>
      </c>
      <c r="H165">
        <v>986.51</v>
      </c>
    </row>
    <row r="166" spans="1:8">
      <c r="A166">
        <v>165</v>
      </c>
      <c r="B166">
        <v>30</v>
      </c>
      <c r="C166" t="s">
        <v>19</v>
      </c>
      <c r="D166" s="1">
        <v>45448</v>
      </c>
      <c r="E166" t="s">
        <v>9</v>
      </c>
      <c r="F166" t="s">
        <v>18</v>
      </c>
      <c r="G166" t="s">
        <v>16</v>
      </c>
      <c r="H166">
        <v>796.76</v>
      </c>
    </row>
    <row r="167" spans="1:8">
      <c r="A167">
        <v>166</v>
      </c>
      <c r="B167">
        <v>34</v>
      </c>
      <c r="C167" t="s">
        <v>12</v>
      </c>
      <c r="D167" t="s">
        <v>14</v>
      </c>
      <c r="E167" t="s">
        <v>9</v>
      </c>
      <c r="F167" t="s">
        <v>10</v>
      </c>
      <c r="G167" t="s">
        <v>11</v>
      </c>
      <c r="H167">
        <v>105.27</v>
      </c>
    </row>
    <row r="168" spans="1:8">
      <c r="A168">
        <v>167</v>
      </c>
      <c r="B168">
        <v>99</v>
      </c>
      <c r="C168" t="s">
        <v>19</v>
      </c>
      <c r="D168" t="s">
        <v>80</v>
      </c>
      <c r="E168" t="s">
        <v>26</v>
      </c>
      <c r="F168" t="s">
        <v>21</v>
      </c>
      <c r="G168" t="s">
        <v>16</v>
      </c>
      <c r="H168">
        <v>950.97</v>
      </c>
    </row>
    <row r="169" spans="1:8">
      <c r="A169">
        <v>168</v>
      </c>
      <c r="B169">
        <v>14</v>
      </c>
      <c r="C169" t="s">
        <v>8</v>
      </c>
      <c r="D169" t="s">
        <v>56</v>
      </c>
      <c r="E169" t="s">
        <v>26</v>
      </c>
      <c r="F169" t="s">
        <v>18</v>
      </c>
      <c r="G169" t="s">
        <v>11</v>
      </c>
      <c r="H169">
        <v>517.41</v>
      </c>
    </row>
    <row r="170" spans="1:8">
      <c r="A170">
        <v>169</v>
      </c>
      <c r="B170">
        <v>70</v>
      </c>
      <c r="C170" t="s">
        <v>19</v>
      </c>
      <c r="D170" s="1">
        <v>45357</v>
      </c>
      <c r="E170" t="s">
        <v>26</v>
      </c>
      <c r="F170" t="s">
        <v>18</v>
      </c>
      <c r="G170" t="s">
        <v>20</v>
      </c>
      <c r="H170">
        <v>789.62</v>
      </c>
    </row>
    <row r="171" spans="1:8">
      <c r="A171">
        <v>170</v>
      </c>
      <c r="B171">
        <v>4</v>
      </c>
      <c r="C171" t="s">
        <v>12</v>
      </c>
      <c r="D171" t="s">
        <v>66</v>
      </c>
      <c r="E171" t="s">
        <v>15</v>
      </c>
      <c r="F171" t="s">
        <v>21</v>
      </c>
      <c r="G171" t="s">
        <v>11</v>
      </c>
      <c r="H171">
        <v>942.03</v>
      </c>
    </row>
    <row r="172" spans="1:8">
      <c r="A172">
        <v>171</v>
      </c>
      <c r="B172">
        <v>74</v>
      </c>
      <c r="C172" t="s">
        <v>19</v>
      </c>
      <c r="D172" t="s">
        <v>13</v>
      </c>
      <c r="E172" t="s">
        <v>26</v>
      </c>
      <c r="F172" t="s">
        <v>21</v>
      </c>
      <c r="G172" t="s">
        <v>20</v>
      </c>
      <c r="H172">
        <v>352.05</v>
      </c>
    </row>
    <row r="173" spans="1:8">
      <c r="A173">
        <v>172</v>
      </c>
      <c r="B173">
        <v>25</v>
      </c>
      <c r="C173" t="s">
        <v>19</v>
      </c>
      <c r="D173" s="1">
        <v>45323</v>
      </c>
      <c r="E173" t="s">
        <v>9</v>
      </c>
      <c r="F173" t="s">
        <v>18</v>
      </c>
      <c r="G173" t="s">
        <v>16</v>
      </c>
      <c r="H173">
        <v>10.220000000000001</v>
      </c>
    </row>
    <row r="174" spans="1:8">
      <c r="A174">
        <v>173</v>
      </c>
      <c r="B174">
        <v>74</v>
      </c>
      <c r="C174" t="s">
        <v>19</v>
      </c>
      <c r="D174" t="s">
        <v>39</v>
      </c>
      <c r="E174" t="s">
        <v>9</v>
      </c>
      <c r="F174" t="s">
        <v>21</v>
      </c>
      <c r="G174" t="s">
        <v>16</v>
      </c>
      <c r="H174">
        <v>932.23</v>
      </c>
    </row>
    <row r="175" spans="1:8">
      <c r="A175">
        <v>174</v>
      </c>
      <c r="B175">
        <v>51</v>
      </c>
      <c r="C175" t="s">
        <v>12</v>
      </c>
      <c r="D175" t="s">
        <v>85</v>
      </c>
      <c r="E175" t="s">
        <v>26</v>
      </c>
      <c r="F175" t="s">
        <v>18</v>
      </c>
      <c r="G175" t="s">
        <v>16</v>
      </c>
      <c r="H175">
        <v>715.22</v>
      </c>
    </row>
    <row r="176" spans="1:8">
      <c r="A176">
        <v>175</v>
      </c>
      <c r="B176">
        <v>6</v>
      </c>
      <c r="C176" t="s">
        <v>8</v>
      </c>
      <c r="D176" t="s">
        <v>34</v>
      </c>
      <c r="E176" t="s">
        <v>15</v>
      </c>
      <c r="F176" t="s">
        <v>21</v>
      </c>
      <c r="G176" t="s">
        <v>20</v>
      </c>
      <c r="H176">
        <v>999.64</v>
      </c>
    </row>
    <row r="177" spans="1:8">
      <c r="A177">
        <v>176</v>
      </c>
      <c r="B177">
        <v>13</v>
      </c>
      <c r="C177" t="s">
        <v>8</v>
      </c>
      <c r="D177" s="1">
        <v>45538</v>
      </c>
      <c r="E177" t="s">
        <v>26</v>
      </c>
      <c r="F177" t="s">
        <v>18</v>
      </c>
      <c r="G177" t="s">
        <v>20</v>
      </c>
      <c r="H177">
        <v>952.49</v>
      </c>
    </row>
    <row r="178" spans="1:8">
      <c r="A178">
        <v>177</v>
      </c>
      <c r="B178">
        <v>34</v>
      </c>
      <c r="C178" t="s">
        <v>8</v>
      </c>
      <c r="D178" t="s">
        <v>63</v>
      </c>
      <c r="E178" t="s">
        <v>15</v>
      </c>
      <c r="F178" t="s">
        <v>10</v>
      </c>
      <c r="G178" t="s">
        <v>20</v>
      </c>
      <c r="H178">
        <v>174.76</v>
      </c>
    </row>
    <row r="179" spans="1:8">
      <c r="A179">
        <v>178</v>
      </c>
      <c r="B179">
        <v>51</v>
      </c>
      <c r="C179" t="s">
        <v>12</v>
      </c>
      <c r="D179" t="s">
        <v>86</v>
      </c>
      <c r="E179" t="s">
        <v>15</v>
      </c>
      <c r="F179" t="s">
        <v>10</v>
      </c>
      <c r="G179" t="s">
        <v>11</v>
      </c>
      <c r="H179">
        <v>755.15</v>
      </c>
    </row>
    <row r="180" spans="1:8">
      <c r="A180">
        <v>179</v>
      </c>
      <c r="B180">
        <v>44</v>
      </c>
      <c r="C180" t="s">
        <v>8</v>
      </c>
      <c r="D180" t="s">
        <v>71</v>
      </c>
      <c r="E180" t="s">
        <v>26</v>
      </c>
      <c r="F180" t="s">
        <v>21</v>
      </c>
      <c r="G180" t="s">
        <v>16</v>
      </c>
      <c r="H180">
        <v>532.6</v>
      </c>
    </row>
    <row r="181" spans="1:8">
      <c r="A181">
        <v>180</v>
      </c>
      <c r="B181">
        <v>64</v>
      </c>
      <c r="C181" t="s">
        <v>8</v>
      </c>
      <c r="D181" s="1">
        <v>45474</v>
      </c>
      <c r="E181" t="s">
        <v>9</v>
      </c>
      <c r="F181" t="s">
        <v>10</v>
      </c>
      <c r="G181" t="s">
        <v>20</v>
      </c>
      <c r="H181">
        <v>854.25</v>
      </c>
    </row>
    <row r="182" spans="1:8">
      <c r="A182">
        <v>181</v>
      </c>
      <c r="B182">
        <v>91</v>
      </c>
      <c r="C182" t="s">
        <v>12</v>
      </c>
      <c r="D182" t="s">
        <v>87</v>
      </c>
      <c r="E182" t="s">
        <v>15</v>
      </c>
      <c r="F182" t="s">
        <v>10</v>
      </c>
      <c r="G182" t="s">
        <v>16</v>
      </c>
      <c r="H182">
        <v>383.83</v>
      </c>
    </row>
    <row r="183" spans="1:8">
      <c r="A183">
        <v>182</v>
      </c>
      <c r="B183">
        <v>80</v>
      </c>
      <c r="C183" t="s">
        <v>12</v>
      </c>
      <c r="D183" t="s">
        <v>80</v>
      </c>
      <c r="E183" t="s">
        <v>15</v>
      </c>
      <c r="F183" t="s">
        <v>21</v>
      </c>
      <c r="G183" t="s">
        <v>20</v>
      </c>
      <c r="H183">
        <v>80</v>
      </c>
    </row>
    <row r="184" spans="1:8">
      <c r="A184">
        <v>183</v>
      </c>
      <c r="B184">
        <v>8</v>
      </c>
      <c r="C184" t="s">
        <v>8</v>
      </c>
      <c r="D184" s="1">
        <v>45324</v>
      </c>
      <c r="E184" t="s">
        <v>9</v>
      </c>
      <c r="F184" t="s">
        <v>18</v>
      </c>
      <c r="G184" t="s">
        <v>11</v>
      </c>
      <c r="H184">
        <v>970.31</v>
      </c>
    </row>
    <row r="185" spans="1:8">
      <c r="A185">
        <v>184</v>
      </c>
      <c r="B185">
        <v>14</v>
      </c>
      <c r="C185" t="s">
        <v>12</v>
      </c>
      <c r="D185" s="1">
        <v>45537</v>
      </c>
      <c r="E185" t="s">
        <v>15</v>
      </c>
      <c r="F185" t="s">
        <v>21</v>
      </c>
      <c r="G185" t="s">
        <v>11</v>
      </c>
      <c r="H185">
        <v>517.63</v>
      </c>
    </row>
    <row r="186" spans="1:8">
      <c r="A186">
        <v>185</v>
      </c>
      <c r="B186">
        <v>64</v>
      </c>
      <c r="C186" t="s">
        <v>8</v>
      </c>
      <c r="D186" t="s">
        <v>23</v>
      </c>
      <c r="E186" t="s">
        <v>26</v>
      </c>
      <c r="F186" t="s">
        <v>21</v>
      </c>
      <c r="G186" t="s">
        <v>16</v>
      </c>
      <c r="H186">
        <v>81.33</v>
      </c>
    </row>
    <row r="187" spans="1:8">
      <c r="A187">
        <v>186</v>
      </c>
      <c r="B187">
        <v>21</v>
      </c>
      <c r="C187" t="s">
        <v>8</v>
      </c>
      <c r="D187" t="s">
        <v>39</v>
      </c>
      <c r="E187" t="s">
        <v>9</v>
      </c>
      <c r="F187" t="s">
        <v>18</v>
      </c>
      <c r="G187" t="s">
        <v>20</v>
      </c>
      <c r="H187">
        <v>540.91999999999996</v>
      </c>
    </row>
    <row r="188" spans="1:8">
      <c r="A188">
        <v>187</v>
      </c>
      <c r="B188">
        <v>13</v>
      </c>
      <c r="C188" t="s">
        <v>19</v>
      </c>
      <c r="D188" t="s">
        <v>61</v>
      </c>
      <c r="E188" t="s">
        <v>15</v>
      </c>
      <c r="F188" t="s">
        <v>18</v>
      </c>
      <c r="G188" t="s">
        <v>11</v>
      </c>
      <c r="H188">
        <v>280.77</v>
      </c>
    </row>
    <row r="189" spans="1:8">
      <c r="A189">
        <v>188</v>
      </c>
      <c r="B189">
        <v>56</v>
      </c>
      <c r="C189" t="s">
        <v>8</v>
      </c>
      <c r="D189" s="1">
        <v>45328</v>
      </c>
      <c r="E189" t="s">
        <v>15</v>
      </c>
      <c r="F189" t="s">
        <v>21</v>
      </c>
      <c r="G189" t="s">
        <v>16</v>
      </c>
      <c r="H189">
        <v>87.28</v>
      </c>
    </row>
    <row r="190" spans="1:8">
      <c r="A190">
        <v>189</v>
      </c>
      <c r="B190">
        <v>95</v>
      </c>
      <c r="C190" t="s">
        <v>19</v>
      </c>
      <c r="D190" t="s">
        <v>33</v>
      </c>
      <c r="E190" t="s">
        <v>26</v>
      </c>
      <c r="F190" t="s">
        <v>10</v>
      </c>
      <c r="G190" t="s">
        <v>20</v>
      </c>
      <c r="H190">
        <v>306.56</v>
      </c>
    </row>
    <row r="191" spans="1:8">
      <c r="A191">
        <v>190</v>
      </c>
      <c r="B191">
        <v>4</v>
      </c>
      <c r="C191" t="s">
        <v>12</v>
      </c>
      <c r="D191" t="s">
        <v>88</v>
      </c>
      <c r="E191" t="s">
        <v>26</v>
      </c>
      <c r="F191" t="s">
        <v>18</v>
      </c>
      <c r="G191" t="s">
        <v>16</v>
      </c>
      <c r="H191">
        <v>86.46</v>
      </c>
    </row>
    <row r="192" spans="1:8">
      <c r="A192">
        <v>191</v>
      </c>
      <c r="B192">
        <v>80</v>
      </c>
      <c r="C192" t="s">
        <v>19</v>
      </c>
      <c r="D192" s="1">
        <v>45627</v>
      </c>
      <c r="E192" t="s">
        <v>26</v>
      </c>
      <c r="F192" t="s">
        <v>18</v>
      </c>
      <c r="G192" t="s">
        <v>20</v>
      </c>
      <c r="H192">
        <v>13.03</v>
      </c>
    </row>
    <row r="193" spans="1:8">
      <c r="A193">
        <v>192</v>
      </c>
      <c r="B193">
        <v>95</v>
      </c>
      <c r="C193" t="s">
        <v>12</v>
      </c>
      <c r="D193" t="s">
        <v>89</v>
      </c>
      <c r="E193" t="s">
        <v>9</v>
      </c>
      <c r="F193" t="s">
        <v>18</v>
      </c>
      <c r="G193" t="s">
        <v>11</v>
      </c>
      <c r="H193">
        <v>525.07000000000005</v>
      </c>
    </row>
    <row r="194" spans="1:8">
      <c r="A194">
        <v>193</v>
      </c>
      <c r="B194">
        <v>28</v>
      </c>
      <c r="C194" t="s">
        <v>19</v>
      </c>
      <c r="D194" t="s">
        <v>31</v>
      </c>
      <c r="E194" t="s">
        <v>9</v>
      </c>
      <c r="F194" t="s">
        <v>18</v>
      </c>
      <c r="G194" t="s">
        <v>20</v>
      </c>
      <c r="H194">
        <v>219.71</v>
      </c>
    </row>
    <row r="195" spans="1:8">
      <c r="A195">
        <v>194</v>
      </c>
      <c r="B195">
        <v>1</v>
      </c>
      <c r="C195" t="s">
        <v>8</v>
      </c>
      <c r="D195" s="1">
        <v>45354</v>
      </c>
      <c r="E195" t="s">
        <v>9</v>
      </c>
      <c r="F195" t="s">
        <v>18</v>
      </c>
      <c r="G195" t="s">
        <v>11</v>
      </c>
      <c r="H195">
        <v>192.21</v>
      </c>
    </row>
    <row r="196" spans="1:8">
      <c r="A196">
        <v>195</v>
      </c>
      <c r="B196">
        <v>17</v>
      </c>
      <c r="C196" t="s">
        <v>8</v>
      </c>
      <c r="D196" t="s">
        <v>52</v>
      </c>
      <c r="E196" t="s">
        <v>9</v>
      </c>
      <c r="F196" t="s">
        <v>21</v>
      </c>
      <c r="G196" t="s">
        <v>16</v>
      </c>
      <c r="H196">
        <v>924.13</v>
      </c>
    </row>
    <row r="197" spans="1:8">
      <c r="A197">
        <v>196</v>
      </c>
      <c r="B197">
        <v>18</v>
      </c>
      <c r="C197" t="s">
        <v>8</v>
      </c>
      <c r="D197" t="s">
        <v>90</v>
      </c>
      <c r="E197" t="s">
        <v>9</v>
      </c>
      <c r="F197" t="s">
        <v>10</v>
      </c>
      <c r="G197" t="s">
        <v>20</v>
      </c>
      <c r="H197">
        <v>65.23</v>
      </c>
    </row>
    <row r="198" spans="1:8">
      <c r="A198">
        <v>197</v>
      </c>
      <c r="B198">
        <v>76</v>
      </c>
      <c r="C198" t="s">
        <v>19</v>
      </c>
      <c r="D198" t="s">
        <v>91</v>
      </c>
      <c r="E198" t="s">
        <v>15</v>
      </c>
      <c r="F198" t="s">
        <v>21</v>
      </c>
      <c r="G198" t="s">
        <v>16</v>
      </c>
      <c r="H198">
        <v>481.7</v>
      </c>
    </row>
    <row r="199" spans="1:8">
      <c r="A199">
        <v>198</v>
      </c>
      <c r="B199">
        <v>28</v>
      </c>
      <c r="C199" t="s">
        <v>19</v>
      </c>
      <c r="D199" t="s">
        <v>92</v>
      </c>
      <c r="E199" t="s">
        <v>26</v>
      </c>
      <c r="F199" t="s">
        <v>10</v>
      </c>
      <c r="G199" t="s">
        <v>20</v>
      </c>
      <c r="H199">
        <v>561.27</v>
      </c>
    </row>
    <row r="200" spans="1:8">
      <c r="A200">
        <v>199</v>
      </c>
      <c r="B200">
        <v>75</v>
      </c>
      <c r="C200" t="s">
        <v>8</v>
      </c>
      <c r="D200" t="s">
        <v>83</v>
      </c>
      <c r="E200" t="s">
        <v>15</v>
      </c>
      <c r="F200" t="s">
        <v>21</v>
      </c>
      <c r="G200" t="s">
        <v>11</v>
      </c>
      <c r="H200">
        <v>169.54</v>
      </c>
    </row>
    <row r="201" spans="1:8">
      <c r="A201">
        <v>200</v>
      </c>
      <c r="B201">
        <v>78</v>
      </c>
      <c r="C201" t="s">
        <v>19</v>
      </c>
      <c r="D201" s="1">
        <v>45386</v>
      </c>
      <c r="E201" t="s">
        <v>26</v>
      </c>
      <c r="F201" t="s">
        <v>21</v>
      </c>
      <c r="G201" t="s">
        <v>11</v>
      </c>
      <c r="H201">
        <v>629.38</v>
      </c>
    </row>
    <row r="202" spans="1:8">
      <c r="A202">
        <v>201</v>
      </c>
      <c r="B202">
        <v>8</v>
      </c>
      <c r="C202" t="s">
        <v>19</v>
      </c>
      <c r="D202" s="1">
        <v>45383</v>
      </c>
      <c r="E202" t="s">
        <v>26</v>
      </c>
      <c r="F202" t="s">
        <v>18</v>
      </c>
      <c r="G202" t="s">
        <v>16</v>
      </c>
      <c r="H202">
        <v>783.36</v>
      </c>
    </row>
    <row r="203" spans="1:8">
      <c r="A203">
        <v>202</v>
      </c>
      <c r="B203">
        <v>97</v>
      </c>
      <c r="C203" t="s">
        <v>8</v>
      </c>
      <c r="D203" t="s">
        <v>32</v>
      </c>
      <c r="E203" t="s">
        <v>26</v>
      </c>
      <c r="F203" t="s">
        <v>21</v>
      </c>
      <c r="G203" t="s">
        <v>16</v>
      </c>
      <c r="H203">
        <v>102.88</v>
      </c>
    </row>
    <row r="204" spans="1:8">
      <c r="A204">
        <v>203</v>
      </c>
      <c r="B204">
        <v>22</v>
      </c>
      <c r="C204" t="s">
        <v>8</v>
      </c>
      <c r="D204" s="1">
        <v>45416</v>
      </c>
      <c r="E204" t="s">
        <v>9</v>
      </c>
      <c r="F204" t="s">
        <v>10</v>
      </c>
      <c r="G204" t="s">
        <v>20</v>
      </c>
      <c r="H204">
        <v>269.04000000000002</v>
      </c>
    </row>
    <row r="205" spans="1:8">
      <c r="A205">
        <v>204</v>
      </c>
      <c r="B205">
        <v>82</v>
      </c>
      <c r="C205" t="s">
        <v>12</v>
      </c>
      <c r="D205" t="s">
        <v>29</v>
      </c>
      <c r="E205" t="s">
        <v>26</v>
      </c>
      <c r="F205" t="s">
        <v>21</v>
      </c>
      <c r="G205" t="s">
        <v>11</v>
      </c>
      <c r="H205">
        <v>257.33</v>
      </c>
    </row>
    <row r="206" spans="1:8">
      <c r="A206">
        <v>205</v>
      </c>
      <c r="B206">
        <v>17</v>
      </c>
      <c r="C206" t="s">
        <v>8</v>
      </c>
      <c r="D206" t="s">
        <v>91</v>
      </c>
      <c r="E206" t="s">
        <v>9</v>
      </c>
      <c r="F206" t="s">
        <v>18</v>
      </c>
      <c r="G206" t="s">
        <v>16</v>
      </c>
      <c r="H206">
        <v>824.37</v>
      </c>
    </row>
    <row r="207" spans="1:8">
      <c r="A207">
        <v>206</v>
      </c>
      <c r="B207">
        <v>59</v>
      </c>
      <c r="C207" t="s">
        <v>12</v>
      </c>
      <c r="D207" t="s">
        <v>85</v>
      </c>
      <c r="E207" t="s">
        <v>26</v>
      </c>
      <c r="F207" t="s">
        <v>10</v>
      </c>
      <c r="G207" t="s">
        <v>20</v>
      </c>
      <c r="H207">
        <v>303.58999999999997</v>
      </c>
    </row>
    <row r="208" spans="1:8">
      <c r="A208">
        <v>207</v>
      </c>
      <c r="B208">
        <v>69</v>
      </c>
      <c r="C208" t="s">
        <v>12</v>
      </c>
      <c r="D208" t="s">
        <v>93</v>
      </c>
      <c r="E208" t="s">
        <v>15</v>
      </c>
      <c r="F208" t="s">
        <v>18</v>
      </c>
      <c r="G208" t="s">
        <v>16</v>
      </c>
      <c r="H208">
        <v>793.3</v>
      </c>
    </row>
    <row r="209" spans="1:8">
      <c r="A209">
        <v>208</v>
      </c>
      <c r="B209">
        <v>22</v>
      </c>
      <c r="C209" t="s">
        <v>12</v>
      </c>
      <c r="D209" t="s">
        <v>94</v>
      </c>
      <c r="E209" t="s">
        <v>26</v>
      </c>
      <c r="F209" t="s">
        <v>18</v>
      </c>
      <c r="G209" t="s">
        <v>20</v>
      </c>
      <c r="H209">
        <v>929.05</v>
      </c>
    </row>
    <row r="210" spans="1:8">
      <c r="A210">
        <v>209</v>
      </c>
      <c r="B210">
        <v>76</v>
      </c>
      <c r="C210" t="s">
        <v>12</v>
      </c>
      <c r="D210" t="s">
        <v>57</v>
      </c>
      <c r="E210" t="s">
        <v>15</v>
      </c>
      <c r="F210" t="s">
        <v>21</v>
      </c>
      <c r="G210" t="s">
        <v>20</v>
      </c>
      <c r="H210">
        <v>473.36</v>
      </c>
    </row>
    <row r="211" spans="1:8">
      <c r="A211">
        <v>210</v>
      </c>
      <c r="B211">
        <v>59</v>
      </c>
      <c r="C211" t="s">
        <v>12</v>
      </c>
      <c r="D211" t="s">
        <v>67</v>
      </c>
      <c r="E211" t="s">
        <v>26</v>
      </c>
      <c r="F211" t="s">
        <v>10</v>
      </c>
      <c r="G211" t="s">
        <v>16</v>
      </c>
      <c r="H211">
        <v>478.17</v>
      </c>
    </row>
    <row r="212" spans="1:8">
      <c r="A212">
        <v>211</v>
      </c>
      <c r="B212">
        <v>61</v>
      </c>
      <c r="C212" t="s">
        <v>8</v>
      </c>
      <c r="D212" s="1">
        <v>45629</v>
      </c>
      <c r="E212" t="s">
        <v>9</v>
      </c>
      <c r="F212" t="s">
        <v>18</v>
      </c>
      <c r="G212" t="s">
        <v>20</v>
      </c>
      <c r="H212">
        <v>430.49</v>
      </c>
    </row>
    <row r="213" spans="1:8">
      <c r="A213">
        <v>212</v>
      </c>
      <c r="B213">
        <v>69</v>
      </c>
      <c r="C213" t="s">
        <v>12</v>
      </c>
      <c r="D213" s="1">
        <v>45478</v>
      </c>
      <c r="E213" t="s">
        <v>26</v>
      </c>
      <c r="F213" t="s">
        <v>21</v>
      </c>
      <c r="G213" t="s">
        <v>16</v>
      </c>
      <c r="H213">
        <v>460.93</v>
      </c>
    </row>
    <row r="214" spans="1:8">
      <c r="A214">
        <v>213</v>
      </c>
      <c r="B214">
        <v>75</v>
      </c>
      <c r="C214" t="s">
        <v>19</v>
      </c>
      <c r="D214" t="s">
        <v>83</v>
      </c>
      <c r="E214" t="s">
        <v>15</v>
      </c>
      <c r="F214" t="s">
        <v>21</v>
      </c>
      <c r="G214" t="s">
        <v>11</v>
      </c>
      <c r="H214">
        <v>917.3</v>
      </c>
    </row>
    <row r="215" spans="1:8">
      <c r="A215">
        <v>214</v>
      </c>
      <c r="B215">
        <v>42</v>
      </c>
      <c r="C215" t="s">
        <v>8</v>
      </c>
      <c r="D215" s="1">
        <v>45323</v>
      </c>
      <c r="E215" t="s">
        <v>26</v>
      </c>
      <c r="F215" t="s">
        <v>10</v>
      </c>
      <c r="G215" t="s">
        <v>20</v>
      </c>
      <c r="H215">
        <v>520.21</v>
      </c>
    </row>
    <row r="216" spans="1:8">
      <c r="A216">
        <v>215</v>
      </c>
      <c r="B216">
        <v>38</v>
      </c>
      <c r="C216" t="s">
        <v>12</v>
      </c>
      <c r="D216" s="1">
        <v>45474</v>
      </c>
      <c r="E216" t="s">
        <v>15</v>
      </c>
      <c r="F216" t="s">
        <v>18</v>
      </c>
      <c r="G216" t="s">
        <v>20</v>
      </c>
      <c r="H216">
        <v>575.58000000000004</v>
      </c>
    </row>
    <row r="217" spans="1:8">
      <c r="A217">
        <v>216</v>
      </c>
      <c r="B217">
        <v>5</v>
      </c>
      <c r="C217" t="s">
        <v>8</v>
      </c>
      <c r="D217" t="s">
        <v>36</v>
      </c>
      <c r="E217" t="s">
        <v>15</v>
      </c>
      <c r="F217" t="s">
        <v>21</v>
      </c>
      <c r="G217" t="s">
        <v>11</v>
      </c>
      <c r="H217">
        <v>296.41000000000003</v>
      </c>
    </row>
    <row r="218" spans="1:8">
      <c r="A218">
        <v>217</v>
      </c>
      <c r="B218">
        <v>10</v>
      </c>
      <c r="C218" t="s">
        <v>19</v>
      </c>
      <c r="D218" t="s">
        <v>91</v>
      </c>
      <c r="E218" t="s">
        <v>26</v>
      </c>
      <c r="F218" t="s">
        <v>18</v>
      </c>
      <c r="G218" t="s">
        <v>16</v>
      </c>
      <c r="H218">
        <v>622.98</v>
      </c>
    </row>
    <row r="219" spans="1:8">
      <c r="A219">
        <v>218</v>
      </c>
      <c r="B219">
        <v>21</v>
      </c>
      <c r="C219" t="s">
        <v>12</v>
      </c>
      <c r="D219" s="1">
        <v>45570</v>
      </c>
      <c r="E219" t="s">
        <v>15</v>
      </c>
      <c r="F219" t="s">
        <v>18</v>
      </c>
      <c r="G219" t="s">
        <v>11</v>
      </c>
      <c r="H219">
        <v>484.08</v>
      </c>
    </row>
    <row r="220" spans="1:8">
      <c r="A220">
        <v>219</v>
      </c>
      <c r="B220">
        <v>92</v>
      </c>
      <c r="C220" t="s">
        <v>19</v>
      </c>
      <c r="D220" t="s">
        <v>13</v>
      </c>
      <c r="E220" t="s">
        <v>9</v>
      </c>
      <c r="F220" t="s">
        <v>18</v>
      </c>
      <c r="G220" t="s">
        <v>20</v>
      </c>
      <c r="H220">
        <v>479.31</v>
      </c>
    </row>
    <row r="221" spans="1:8">
      <c r="A221">
        <v>220</v>
      </c>
      <c r="B221">
        <v>29</v>
      </c>
      <c r="C221" t="s">
        <v>12</v>
      </c>
      <c r="D221" s="1">
        <v>45416</v>
      </c>
      <c r="E221" t="s">
        <v>26</v>
      </c>
      <c r="F221" t="s">
        <v>10</v>
      </c>
      <c r="G221" t="s">
        <v>20</v>
      </c>
      <c r="H221">
        <v>624.22</v>
      </c>
    </row>
    <row r="222" spans="1:8">
      <c r="A222">
        <v>221</v>
      </c>
      <c r="B222">
        <v>49</v>
      </c>
      <c r="C222" t="s">
        <v>12</v>
      </c>
      <c r="D222" s="1">
        <v>45602</v>
      </c>
      <c r="E222" t="s">
        <v>9</v>
      </c>
      <c r="F222" t="s">
        <v>18</v>
      </c>
      <c r="G222" t="s">
        <v>20</v>
      </c>
      <c r="H222">
        <v>777.18</v>
      </c>
    </row>
    <row r="223" spans="1:8">
      <c r="A223">
        <v>222</v>
      </c>
      <c r="B223">
        <v>28</v>
      </c>
      <c r="C223" t="s">
        <v>12</v>
      </c>
      <c r="D223" s="1">
        <v>45628</v>
      </c>
      <c r="E223" t="s">
        <v>9</v>
      </c>
      <c r="F223" t="s">
        <v>18</v>
      </c>
      <c r="G223" t="s">
        <v>16</v>
      </c>
      <c r="H223">
        <v>842.93</v>
      </c>
    </row>
    <row r="224" spans="1:8">
      <c r="A224">
        <v>223</v>
      </c>
      <c r="B224">
        <v>87</v>
      </c>
      <c r="C224" t="s">
        <v>19</v>
      </c>
      <c r="D224" t="s">
        <v>24</v>
      </c>
      <c r="E224" t="s">
        <v>26</v>
      </c>
      <c r="F224" t="s">
        <v>18</v>
      </c>
      <c r="G224" t="s">
        <v>20</v>
      </c>
      <c r="H224">
        <v>974.99</v>
      </c>
    </row>
    <row r="225" spans="1:8">
      <c r="A225">
        <v>224</v>
      </c>
      <c r="B225">
        <v>51</v>
      </c>
      <c r="C225" t="s">
        <v>12</v>
      </c>
      <c r="D225" t="s">
        <v>46</v>
      </c>
      <c r="E225" t="s">
        <v>9</v>
      </c>
      <c r="F225" t="s">
        <v>18</v>
      </c>
      <c r="G225" t="s">
        <v>20</v>
      </c>
      <c r="H225">
        <v>989.81</v>
      </c>
    </row>
    <row r="226" spans="1:8">
      <c r="A226">
        <v>225</v>
      </c>
      <c r="B226">
        <v>64</v>
      </c>
      <c r="C226" t="s">
        <v>8</v>
      </c>
      <c r="D226" t="s">
        <v>71</v>
      </c>
      <c r="E226" t="s">
        <v>9</v>
      </c>
      <c r="F226" t="s">
        <v>21</v>
      </c>
      <c r="G226" t="s">
        <v>11</v>
      </c>
      <c r="H226">
        <v>484.04</v>
      </c>
    </row>
    <row r="227" spans="1:8">
      <c r="A227">
        <v>226</v>
      </c>
      <c r="B227">
        <v>77</v>
      </c>
      <c r="C227" t="s">
        <v>19</v>
      </c>
      <c r="D227" s="1">
        <v>45388</v>
      </c>
      <c r="E227" t="s">
        <v>15</v>
      </c>
      <c r="F227" t="s">
        <v>10</v>
      </c>
      <c r="G227" t="s">
        <v>16</v>
      </c>
      <c r="H227">
        <v>38.39</v>
      </c>
    </row>
    <row r="228" spans="1:8">
      <c r="A228">
        <v>227</v>
      </c>
      <c r="B228">
        <v>23</v>
      </c>
      <c r="C228" t="s">
        <v>12</v>
      </c>
      <c r="D228" t="s">
        <v>95</v>
      </c>
      <c r="E228" t="s">
        <v>26</v>
      </c>
      <c r="F228" t="s">
        <v>10</v>
      </c>
      <c r="G228" t="s">
        <v>11</v>
      </c>
      <c r="H228">
        <v>334.53</v>
      </c>
    </row>
    <row r="229" spans="1:8">
      <c r="A229">
        <v>228</v>
      </c>
      <c r="B229">
        <v>89</v>
      </c>
      <c r="C229" t="s">
        <v>12</v>
      </c>
      <c r="D229" s="1">
        <v>45384</v>
      </c>
      <c r="E229" t="s">
        <v>9</v>
      </c>
      <c r="F229" t="s">
        <v>21</v>
      </c>
      <c r="G229" t="s">
        <v>20</v>
      </c>
      <c r="H229">
        <v>580.74</v>
      </c>
    </row>
    <row r="230" spans="1:8">
      <c r="A230">
        <v>229</v>
      </c>
      <c r="B230">
        <v>30</v>
      </c>
      <c r="C230" t="s">
        <v>12</v>
      </c>
      <c r="D230" t="s">
        <v>96</v>
      </c>
      <c r="E230" t="s">
        <v>26</v>
      </c>
      <c r="F230" t="s">
        <v>18</v>
      </c>
      <c r="G230" t="s">
        <v>20</v>
      </c>
      <c r="H230">
        <v>638.28</v>
      </c>
    </row>
    <row r="231" spans="1:8">
      <c r="A231">
        <v>230</v>
      </c>
      <c r="B231">
        <v>88</v>
      </c>
      <c r="C231" t="s">
        <v>8</v>
      </c>
      <c r="D231" t="s">
        <v>97</v>
      </c>
      <c r="E231" t="s">
        <v>9</v>
      </c>
      <c r="F231" t="s">
        <v>10</v>
      </c>
      <c r="G231" t="s">
        <v>20</v>
      </c>
      <c r="H231">
        <v>727.86</v>
      </c>
    </row>
    <row r="232" spans="1:8">
      <c r="A232">
        <v>231</v>
      </c>
      <c r="B232">
        <v>47</v>
      </c>
      <c r="C232" t="s">
        <v>8</v>
      </c>
      <c r="D232" s="1">
        <v>45599</v>
      </c>
      <c r="E232" t="s">
        <v>15</v>
      </c>
      <c r="F232" t="s">
        <v>21</v>
      </c>
      <c r="G232" t="s">
        <v>20</v>
      </c>
      <c r="H232">
        <v>117.74</v>
      </c>
    </row>
    <row r="233" spans="1:8">
      <c r="A233">
        <v>232</v>
      </c>
      <c r="B233">
        <v>74</v>
      </c>
      <c r="C233" t="s">
        <v>12</v>
      </c>
      <c r="D233" t="s">
        <v>32</v>
      </c>
      <c r="E233" t="s">
        <v>9</v>
      </c>
      <c r="F233" t="s">
        <v>18</v>
      </c>
      <c r="G233" t="s">
        <v>16</v>
      </c>
      <c r="H233">
        <v>891.94</v>
      </c>
    </row>
    <row r="234" spans="1:8">
      <c r="A234">
        <v>233</v>
      </c>
      <c r="B234">
        <v>53</v>
      </c>
      <c r="C234" t="s">
        <v>8</v>
      </c>
      <c r="D234" t="s">
        <v>98</v>
      </c>
      <c r="E234" t="s">
        <v>26</v>
      </c>
      <c r="F234" t="s">
        <v>10</v>
      </c>
      <c r="G234" t="s">
        <v>11</v>
      </c>
      <c r="H234">
        <v>440.58</v>
      </c>
    </row>
    <row r="235" spans="1:8">
      <c r="A235">
        <v>234</v>
      </c>
      <c r="B235">
        <v>39</v>
      </c>
      <c r="C235" t="s">
        <v>8</v>
      </c>
      <c r="D235" t="s">
        <v>64</v>
      </c>
      <c r="E235" t="s">
        <v>15</v>
      </c>
      <c r="F235" t="s">
        <v>10</v>
      </c>
      <c r="G235" t="s">
        <v>16</v>
      </c>
      <c r="H235">
        <v>310.95999999999998</v>
      </c>
    </row>
    <row r="236" spans="1:8">
      <c r="A236">
        <v>235</v>
      </c>
      <c r="B236">
        <v>4</v>
      </c>
      <c r="C236" t="s">
        <v>19</v>
      </c>
      <c r="D236" t="s">
        <v>97</v>
      </c>
      <c r="E236" t="s">
        <v>15</v>
      </c>
      <c r="F236" t="s">
        <v>18</v>
      </c>
      <c r="G236" t="s">
        <v>20</v>
      </c>
      <c r="H236">
        <v>430.74</v>
      </c>
    </row>
    <row r="237" spans="1:8">
      <c r="A237">
        <v>236</v>
      </c>
      <c r="B237">
        <v>29</v>
      </c>
      <c r="C237" t="s">
        <v>19</v>
      </c>
      <c r="D237" s="1">
        <v>45417</v>
      </c>
      <c r="E237" t="s">
        <v>26</v>
      </c>
      <c r="F237" t="s">
        <v>10</v>
      </c>
      <c r="G237" t="s">
        <v>16</v>
      </c>
      <c r="H237">
        <v>47.99</v>
      </c>
    </row>
    <row r="238" spans="1:8">
      <c r="A238">
        <v>237</v>
      </c>
      <c r="B238">
        <v>31</v>
      </c>
      <c r="C238" t="s">
        <v>19</v>
      </c>
      <c r="D238" t="s">
        <v>65</v>
      </c>
      <c r="E238" t="s">
        <v>9</v>
      </c>
      <c r="F238" t="s">
        <v>21</v>
      </c>
      <c r="G238" t="s">
        <v>11</v>
      </c>
      <c r="H238">
        <v>728.13</v>
      </c>
    </row>
    <row r="239" spans="1:8">
      <c r="A239">
        <v>238</v>
      </c>
      <c r="B239">
        <v>75</v>
      </c>
      <c r="C239" t="s">
        <v>8</v>
      </c>
      <c r="D239" s="1">
        <v>45445</v>
      </c>
      <c r="E239" t="s">
        <v>9</v>
      </c>
      <c r="F239" t="s">
        <v>18</v>
      </c>
      <c r="G239" t="s">
        <v>11</v>
      </c>
      <c r="H239">
        <v>890.35</v>
      </c>
    </row>
    <row r="240" spans="1:8">
      <c r="A240">
        <v>239</v>
      </c>
      <c r="B240">
        <v>88</v>
      </c>
      <c r="C240" t="s">
        <v>12</v>
      </c>
      <c r="D240" s="1">
        <v>45629</v>
      </c>
      <c r="E240" t="s">
        <v>26</v>
      </c>
      <c r="F240" t="s">
        <v>10</v>
      </c>
      <c r="G240" t="s">
        <v>20</v>
      </c>
      <c r="H240">
        <v>356.55</v>
      </c>
    </row>
    <row r="241" spans="1:8">
      <c r="A241">
        <v>240</v>
      </c>
      <c r="B241">
        <v>14</v>
      </c>
      <c r="C241" t="s">
        <v>8</v>
      </c>
      <c r="D241" s="1">
        <v>45387</v>
      </c>
      <c r="E241" t="s">
        <v>15</v>
      </c>
      <c r="F241" t="s">
        <v>21</v>
      </c>
      <c r="G241" t="s">
        <v>11</v>
      </c>
      <c r="H241">
        <v>271.51</v>
      </c>
    </row>
    <row r="242" spans="1:8">
      <c r="A242">
        <v>241</v>
      </c>
      <c r="B242">
        <v>80</v>
      </c>
      <c r="C242" t="s">
        <v>8</v>
      </c>
      <c r="D242" t="s">
        <v>99</v>
      </c>
      <c r="E242" t="s">
        <v>26</v>
      </c>
      <c r="F242" t="s">
        <v>10</v>
      </c>
      <c r="G242" t="s">
        <v>20</v>
      </c>
      <c r="H242">
        <v>288.31</v>
      </c>
    </row>
    <row r="243" spans="1:8">
      <c r="A243">
        <v>242</v>
      </c>
      <c r="B243">
        <v>13</v>
      </c>
      <c r="C243" t="s">
        <v>12</v>
      </c>
      <c r="D243" s="1">
        <v>45506</v>
      </c>
      <c r="E243" t="s">
        <v>9</v>
      </c>
      <c r="F243" t="s">
        <v>18</v>
      </c>
      <c r="G243" t="s">
        <v>16</v>
      </c>
      <c r="H243">
        <v>663.49</v>
      </c>
    </row>
    <row r="244" spans="1:8">
      <c r="A244">
        <v>243</v>
      </c>
      <c r="B244">
        <v>5</v>
      </c>
      <c r="C244" t="s">
        <v>12</v>
      </c>
      <c r="D244" t="s">
        <v>76</v>
      </c>
      <c r="E244" t="s">
        <v>15</v>
      </c>
      <c r="F244" t="s">
        <v>21</v>
      </c>
      <c r="G244" t="s">
        <v>20</v>
      </c>
      <c r="H244">
        <v>711.77</v>
      </c>
    </row>
    <row r="245" spans="1:8">
      <c r="A245">
        <v>244</v>
      </c>
      <c r="B245">
        <v>67</v>
      </c>
      <c r="C245" t="s">
        <v>8</v>
      </c>
      <c r="D245" s="1">
        <v>45388</v>
      </c>
      <c r="E245" t="s">
        <v>26</v>
      </c>
      <c r="F245" t="s">
        <v>21</v>
      </c>
      <c r="G245" t="s">
        <v>11</v>
      </c>
      <c r="H245">
        <v>822.12</v>
      </c>
    </row>
    <row r="246" spans="1:8">
      <c r="A246">
        <v>245</v>
      </c>
      <c r="B246">
        <v>35</v>
      </c>
      <c r="C246" t="s">
        <v>19</v>
      </c>
      <c r="D246" t="s">
        <v>45</v>
      </c>
      <c r="E246" t="s">
        <v>9</v>
      </c>
      <c r="F246" t="s">
        <v>18</v>
      </c>
      <c r="G246" t="s">
        <v>11</v>
      </c>
      <c r="H246">
        <v>889.52</v>
      </c>
    </row>
    <row r="247" spans="1:8">
      <c r="A247">
        <v>246</v>
      </c>
      <c r="B247">
        <v>81</v>
      </c>
      <c r="C247" t="s">
        <v>8</v>
      </c>
      <c r="D247" t="s">
        <v>100</v>
      </c>
      <c r="E247" t="s">
        <v>26</v>
      </c>
      <c r="F247" t="s">
        <v>10</v>
      </c>
      <c r="G247" t="s">
        <v>16</v>
      </c>
      <c r="H247">
        <v>471.55</v>
      </c>
    </row>
    <row r="248" spans="1:8">
      <c r="A248">
        <v>247</v>
      </c>
      <c r="B248">
        <v>24</v>
      </c>
      <c r="C248" t="s">
        <v>19</v>
      </c>
      <c r="D248" t="s">
        <v>93</v>
      </c>
      <c r="E248" t="s">
        <v>15</v>
      </c>
      <c r="F248" t="s">
        <v>18</v>
      </c>
      <c r="G248" t="s">
        <v>16</v>
      </c>
      <c r="H248">
        <v>136.69</v>
      </c>
    </row>
    <row r="249" spans="1:8">
      <c r="A249">
        <v>248</v>
      </c>
      <c r="B249">
        <v>65</v>
      </c>
      <c r="C249" t="s">
        <v>8</v>
      </c>
      <c r="D249" t="s">
        <v>58</v>
      </c>
      <c r="E249" t="s">
        <v>9</v>
      </c>
      <c r="F249" t="s">
        <v>10</v>
      </c>
      <c r="G249" t="s">
        <v>16</v>
      </c>
      <c r="H249">
        <v>148.61000000000001</v>
      </c>
    </row>
    <row r="250" spans="1:8">
      <c r="A250">
        <v>249</v>
      </c>
      <c r="B250">
        <v>13</v>
      </c>
      <c r="C250" t="s">
        <v>8</v>
      </c>
      <c r="D250" t="s">
        <v>66</v>
      </c>
      <c r="E250" t="s">
        <v>26</v>
      </c>
      <c r="F250" t="s">
        <v>21</v>
      </c>
      <c r="G250" t="s">
        <v>20</v>
      </c>
      <c r="H250">
        <v>768.39</v>
      </c>
    </row>
    <row r="251" spans="1:8">
      <c r="A251">
        <v>250</v>
      </c>
      <c r="B251">
        <v>65</v>
      </c>
      <c r="C251" t="s">
        <v>19</v>
      </c>
      <c r="D251" s="1">
        <v>45479</v>
      </c>
      <c r="E251" t="s">
        <v>9</v>
      </c>
      <c r="F251" t="s">
        <v>21</v>
      </c>
      <c r="G251" t="s">
        <v>20</v>
      </c>
      <c r="H251">
        <v>545.52</v>
      </c>
    </row>
    <row r="252" spans="1:8">
      <c r="A252">
        <v>251</v>
      </c>
      <c r="B252">
        <v>33</v>
      </c>
      <c r="C252" t="s">
        <v>8</v>
      </c>
      <c r="D252" t="s">
        <v>78</v>
      </c>
      <c r="E252" t="s">
        <v>9</v>
      </c>
      <c r="F252" t="s">
        <v>21</v>
      </c>
      <c r="G252" t="s">
        <v>16</v>
      </c>
      <c r="H252">
        <v>978.58</v>
      </c>
    </row>
    <row r="253" spans="1:8">
      <c r="A253">
        <v>252</v>
      </c>
      <c r="B253">
        <v>92</v>
      </c>
      <c r="C253" t="s">
        <v>19</v>
      </c>
      <c r="D253" t="s">
        <v>66</v>
      </c>
      <c r="E253" t="s">
        <v>15</v>
      </c>
      <c r="F253" t="s">
        <v>18</v>
      </c>
      <c r="G253" t="s">
        <v>11</v>
      </c>
      <c r="H253">
        <v>62.59</v>
      </c>
    </row>
    <row r="254" spans="1:8">
      <c r="A254">
        <v>253</v>
      </c>
      <c r="B254">
        <v>25</v>
      </c>
      <c r="C254" t="s">
        <v>12</v>
      </c>
      <c r="D254" s="1">
        <v>45296</v>
      </c>
      <c r="E254" t="s">
        <v>9</v>
      </c>
      <c r="F254" t="s">
        <v>10</v>
      </c>
      <c r="G254" t="s">
        <v>16</v>
      </c>
      <c r="H254">
        <v>146.53</v>
      </c>
    </row>
    <row r="255" spans="1:8">
      <c r="A255">
        <v>254</v>
      </c>
      <c r="B255">
        <v>33</v>
      </c>
      <c r="C255" t="s">
        <v>12</v>
      </c>
      <c r="D255" s="1">
        <v>45327</v>
      </c>
      <c r="E255" t="s">
        <v>26</v>
      </c>
      <c r="F255" t="s">
        <v>10</v>
      </c>
      <c r="G255" t="s">
        <v>16</v>
      </c>
      <c r="H255">
        <v>168.3</v>
      </c>
    </row>
    <row r="256" spans="1:8">
      <c r="A256">
        <v>255</v>
      </c>
      <c r="B256">
        <v>63</v>
      </c>
      <c r="C256" t="s">
        <v>19</v>
      </c>
      <c r="D256" s="1">
        <v>45323</v>
      </c>
      <c r="E256" t="s">
        <v>15</v>
      </c>
      <c r="F256" t="s">
        <v>18</v>
      </c>
      <c r="G256" t="s">
        <v>20</v>
      </c>
      <c r="H256">
        <v>225.2</v>
      </c>
    </row>
    <row r="257" spans="1:8">
      <c r="A257">
        <v>256</v>
      </c>
      <c r="B257">
        <v>23</v>
      </c>
      <c r="C257" t="s">
        <v>8</v>
      </c>
      <c r="D257" t="s">
        <v>76</v>
      </c>
      <c r="E257" t="s">
        <v>26</v>
      </c>
      <c r="F257" t="s">
        <v>10</v>
      </c>
      <c r="G257" t="s">
        <v>20</v>
      </c>
      <c r="H257">
        <v>875.37</v>
      </c>
    </row>
    <row r="258" spans="1:8">
      <c r="A258">
        <v>257</v>
      </c>
      <c r="B258">
        <v>47</v>
      </c>
      <c r="C258" t="s">
        <v>8</v>
      </c>
      <c r="D258" s="1">
        <v>45357</v>
      </c>
      <c r="E258" t="s">
        <v>26</v>
      </c>
      <c r="F258" t="s">
        <v>10</v>
      </c>
      <c r="G258" t="s">
        <v>20</v>
      </c>
      <c r="H258">
        <v>772.77</v>
      </c>
    </row>
    <row r="259" spans="1:8">
      <c r="A259">
        <v>258</v>
      </c>
      <c r="B259">
        <v>78</v>
      </c>
      <c r="C259" t="s">
        <v>8</v>
      </c>
      <c r="D259" s="1">
        <v>45478</v>
      </c>
      <c r="E259" t="s">
        <v>9</v>
      </c>
      <c r="F259" t="s">
        <v>10</v>
      </c>
      <c r="G259" t="s">
        <v>16</v>
      </c>
      <c r="H259">
        <v>617.12</v>
      </c>
    </row>
    <row r="260" spans="1:8">
      <c r="A260">
        <v>259</v>
      </c>
      <c r="B260">
        <v>74</v>
      </c>
      <c r="C260" t="s">
        <v>12</v>
      </c>
      <c r="D260" t="s">
        <v>72</v>
      </c>
      <c r="E260" t="s">
        <v>26</v>
      </c>
      <c r="F260" t="s">
        <v>21</v>
      </c>
      <c r="G260" t="s">
        <v>20</v>
      </c>
      <c r="H260">
        <v>900.61</v>
      </c>
    </row>
    <row r="261" spans="1:8">
      <c r="A261">
        <v>260</v>
      </c>
      <c r="B261">
        <v>70</v>
      </c>
      <c r="C261" t="s">
        <v>8</v>
      </c>
      <c r="D261" s="1">
        <v>45354</v>
      </c>
      <c r="E261" t="s">
        <v>26</v>
      </c>
      <c r="F261" t="s">
        <v>10</v>
      </c>
      <c r="G261" t="s">
        <v>20</v>
      </c>
      <c r="H261">
        <v>159.25</v>
      </c>
    </row>
    <row r="262" spans="1:8">
      <c r="A262">
        <v>261</v>
      </c>
      <c r="B262">
        <v>59</v>
      </c>
      <c r="C262" t="s">
        <v>12</v>
      </c>
      <c r="D262" s="1">
        <v>45325</v>
      </c>
      <c r="E262" t="s">
        <v>15</v>
      </c>
      <c r="F262" t="s">
        <v>10</v>
      </c>
      <c r="G262" t="s">
        <v>20</v>
      </c>
      <c r="H262">
        <v>16.62</v>
      </c>
    </row>
    <row r="263" spans="1:8">
      <c r="A263">
        <v>262</v>
      </c>
      <c r="B263">
        <v>77</v>
      </c>
      <c r="C263" t="s">
        <v>12</v>
      </c>
      <c r="D263" t="s">
        <v>27</v>
      </c>
      <c r="E263" t="s">
        <v>26</v>
      </c>
      <c r="F263" t="s">
        <v>10</v>
      </c>
      <c r="G263" t="s">
        <v>16</v>
      </c>
      <c r="H263">
        <v>906.96</v>
      </c>
    </row>
    <row r="264" spans="1:8">
      <c r="A264">
        <v>263</v>
      </c>
      <c r="B264">
        <v>96</v>
      </c>
      <c r="C264" t="s">
        <v>12</v>
      </c>
      <c r="D264" s="1">
        <v>45356</v>
      </c>
      <c r="E264" t="s">
        <v>15</v>
      </c>
      <c r="F264" t="s">
        <v>10</v>
      </c>
      <c r="G264" t="s">
        <v>20</v>
      </c>
      <c r="H264">
        <v>446.61</v>
      </c>
    </row>
    <row r="265" spans="1:8">
      <c r="A265">
        <v>264</v>
      </c>
      <c r="B265">
        <v>39</v>
      </c>
      <c r="C265" t="s">
        <v>8</v>
      </c>
      <c r="D265" t="s">
        <v>78</v>
      </c>
      <c r="E265" t="s">
        <v>26</v>
      </c>
      <c r="F265" t="s">
        <v>10</v>
      </c>
      <c r="G265" t="s">
        <v>20</v>
      </c>
      <c r="H265">
        <v>406.06</v>
      </c>
    </row>
    <row r="266" spans="1:8">
      <c r="A266">
        <v>265</v>
      </c>
      <c r="B266">
        <v>54</v>
      </c>
      <c r="C266" t="s">
        <v>8</v>
      </c>
      <c r="D266" s="1">
        <v>45510</v>
      </c>
      <c r="E266" t="s">
        <v>9</v>
      </c>
      <c r="F266" t="s">
        <v>10</v>
      </c>
      <c r="G266" t="s">
        <v>16</v>
      </c>
      <c r="H266">
        <v>286.25</v>
      </c>
    </row>
    <row r="267" spans="1:8">
      <c r="A267">
        <v>266</v>
      </c>
      <c r="B267">
        <v>74</v>
      </c>
      <c r="C267" t="s">
        <v>8</v>
      </c>
      <c r="D267" t="s">
        <v>88</v>
      </c>
      <c r="E267" t="s">
        <v>26</v>
      </c>
      <c r="F267" t="s">
        <v>18</v>
      </c>
      <c r="G267" t="s">
        <v>20</v>
      </c>
      <c r="H267">
        <v>319.60000000000002</v>
      </c>
    </row>
    <row r="268" spans="1:8">
      <c r="A268">
        <v>267</v>
      </c>
      <c r="B268">
        <v>57</v>
      </c>
      <c r="C268" t="s">
        <v>12</v>
      </c>
      <c r="D268" s="1">
        <v>45388</v>
      </c>
      <c r="E268" t="s">
        <v>26</v>
      </c>
      <c r="F268" t="s">
        <v>21</v>
      </c>
      <c r="G268" t="s">
        <v>20</v>
      </c>
      <c r="H268">
        <v>798.16</v>
      </c>
    </row>
    <row r="269" spans="1:8">
      <c r="A269">
        <v>268</v>
      </c>
      <c r="B269">
        <v>48</v>
      </c>
      <c r="C269" t="s">
        <v>12</v>
      </c>
      <c r="D269" s="1">
        <v>45413</v>
      </c>
      <c r="E269" t="s">
        <v>9</v>
      </c>
      <c r="F269" t="s">
        <v>18</v>
      </c>
      <c r="G269" t="s">
        <v>20</v>
      </c>
      <c r="H269">
        <v>674.23</v>
      </c>
    </row>
    <row r="270" spans="1:8">
      <c r="A270">
        <v>269</v>
      </c>
      <c r="B270">
        <v>99</v>
      </c>
      <c r="C270" t="s">
        <v>19</v>
      </c>
      <c r="D270" s="1">
        <v>45538</v>
      </c>
      <c r="E270" t="s">
        <v>9</v>
      </c>
      <c r="F270" t="s">
        <v>10</v>
      </c>
      <c r="G270" t="s">
        <v>20</v>
      </c>
      <c r="H270">
        <v>940.48</v>
      </c>
    </row>
    <row r="271" spans="1:8">
      <c r="A271">
        <v>270</v>
      </c>
      <c r="B271">
        <v>71</v>
      </c>
      <c r="C271" t="s">
        <v>12</v>
      </c>
      <c r="D271" s="1">
        <v>45416</v>
      </c>
      <c r="E271" t="s">
        <v>15</v>
      </c>
      <c r="F271" t="s">
        <v>18</v>
      </c>
      <c r="G271" t="s">
        <v>11</v>
      </c>
      <c r="H271">
        <v>42.63</v>
      </c>
    </row>
    <row r="272" spans="1:8">
      <c r="A272">
        <v>271</v>
      </c>
      <c r="B272">
        <v>37</v>
      </c>
      <c r="C272" t="s">
        <v>19</v>
      </c>
      <c r="D272" t="s">
        <v>49</v>
      </c>
      <c r="E272" t="s">
        <v>26</v>
      </c>
      <c r="F272" t="s">
        <v>18</v>
      </c>
      <c r="G272" t="s">
        <v>16</v>
      </c>
      <c r="H272">
        <v>433.02</v>
      </c>
    </row>
    <row r="273" spans="1:8">
      <c r="A273">
        <v>272</v>
      </c>
      <c r="B273">
        <v>65</v>
      </c>
      <c r="C273" t="s">
        <v>8</v>
      </c>
      <c r="D273" s="1">
        <v>45539</v>
      </c>
      <c r="E273" t="s">
        <v>15</v>
      </c>
      <c r="F273" t="s">
        <v>10</v>
      </c>
      <c r="G273" t="s">
        <v>20</v>
      </c>
      <c r="H273">
        <v>606.91</v>
      </c>
    </row>
    <row r="274" spans="1:8">
      <c r="A274">
        <v>273</v>
      </c>
      <c r="B274">
        <v>94</v>
      </c>
      <c r="C274" t="s">
        <v>8</v>
      </c>
      <c r="D274" t="s">
        <v>35</v>
      </c>
      <c r="E274" t="s">
        <v>26</v>
      </c>
      <c r="F274" t="s">
        <v>21</v>
      </c>
      <c r="G274" t="s">
        <v>16</v>
      </c>
      <c r="H274">
        <v>129.41</v>
      </c>
    </row>
    <row r="275" spans="1:8">
      <c r="A275">
        <v>274</v>
      </c>
      <c r="B275">
        <v>83</v>
      </c>
      <c r="C275" t="s">
        <v>19</v>
      </c>
      <c r="D275" s="1">
        <v>45414</v>
      </c>
      <c r="E275" t="s">
        <v>26</v>
      </c>
      <c r="F275" t="s">
        <v>18</v>
      </c>
      <c r="G275" t="s">
        <v>20</v>
      </c>
      <c r="H275">
        <v>444.1</v>
      </c>
    </row>
    <row r="276" spans="1:8">
      <c r="A276">
        <v>275</v>
      </c>
      <c r="B276">
        <v>71</v>
      </c>
      <c r="C276" t="s">
        <v>12</v>
      </c>
      <c r="D276" t="s">
        <v>85</v>
      </c>
      <c r="E276" t="s">
        <v>26</v>
      </c>
      <c r="F276" t="s">
        <v>21</v>
      </c>
      <c r="G276" t="s">
        <v>20</v>
      </c>
      <c r="H276">
        <v>634.26</v>
      </c>
    </row>
    <row r="277" spans="1:8">
      <c r="A277">
        <v>276</v>
      </c>
      <c r="B277">
        <v>46</v>
      </c>
      <c r="C277" t="s">
        <v>19</v>
      </c>
      <c r="D277" t="s">
        <v>36</v>
      </c>
      <c r="E277" t="s">
        <v>26</v>
      </c>
      <c r="F277" t="s">
        <v>21</v>
      </c>
      <c r="G277" t="s">
        <v>20</v>
      </c>
      <c r="H277">
        <v>672.89</v>
      </c>
    </row>
    <row r="278" spans="1:8">
      <c r="A278">
        <v>277</v>
      </c>
      <c r="B278">
        <v>56</v>
      </c>
      <c r="C278" t="s">
        <v>12</v>
      </c>
      <c r="D278" t="s">
        <v>101</v>
      </c>
      <c r="E278" t="s">
        <v>15</v>
      </c>
      <c r="F278" t="s">
        <v>10</v>
      </c>
      <c r="G278" t="s">
        <v>11</v>
      </c>
      <c r="H278">
        <v>557.66999999999996</v>
      </c>
    </row>
    <row r="279" spans="1:8">
      <c r="A279">
        <v>278</v>
      </c>
      <c r="B279">
        <v>34</v>
      </c>
      <c r="C279" t="s">
        <v>12</v>
      </c>
      <c r="D279" t="s">
        <v>88</v>
      </c>
      <c r="E279" t="s">
        <v>15</v>
      </c>
      <c r="F279" t="s">
        <v>10</v>
      </c>
      <c r="G279" t="s">
        <v>20</v>
      </c>
      <c r="H279">
        <v>272.52999999999997</v>
      </c>
    </row>
    <row r="280" spans="1:8">
      <c r="A280">
        <v>279</v>
      </c>
      <c r="B280">
        <v>19</v>
      </c>
      <c r="C280" t="s">
        <v>8</v>
      </c>
      <c r="D280" t="s">
        <v>64</v>
      </c>
      <c r="E280" t="s">
        <v>15</v>
      </c>
      <c r="F280" t="s">
        <v>10</v>
      </c>
      <c r="G280" t="s">
        <v>11</v>
      </c>
      <c r="H280">
        <v>503.24</v>
      </c>
    </row>
    <row r="281" spans="1:8">
      <c r="A281">
        <v>280</v>
      </c>
      <c r="B281">
        <v>27</v>
      </c>
      <c r="C281" t="s">
        <v>12</v>
      </c>
      <c r="D281" t="s">
        <v>71</v>
      </c>
      <c r="E281" t="s">
        <v>26</v>
      </c>
      <c r="F281" t="s">
        <v>18</v>
      </c>
      <c r="G281" t="s">
        <v>11</v>
      </c>
      <c r="H281">
        <v>611.37</v>
      </c>
    </row>
    <row r="282" spans="1:8">
      <c r="A282">
        <v>281</v>
      </c>
      <c r="B282">
        <v>69</v>
      </c>
      <c r="C282" t="s">
        <v>19</v>
      </c>
      <c r="D282" t="s">
        <v>81</v>
      </c>
      <c r="E282" t="s">
        <v>26</v>
      </c>
      <c r="F282" t="s">
        <v>10</v>
      </c>
      <c r="G282" t="s">
        <v>11</v>
      </c>
      <c r="H282">
        <v>501.54</v>
      </c>
    </row>
    <row r="283" spans="1:8">
      <c r="A283">
        <v>282</v>
      </c>
      <c r="B283">
        <v>90</v>
      </c>
      <c r="C283" t="s">
        <v>8</v>
      </c>
      <c r="D283" t="s">
        <v>57</v>
      </c>
      <c r="E283" t="s">
        <v>26</v>
      </c>
      <c r="F283" t="s">
        <v>10</v>
      </c>
      <c r="G283" t="s">
        <v>20</v>
      </c>
      <c r="H283">
        <v>290.23</v>
      </c>
    </row>
    <row r="284" spans="1:8">
      <c r="A284">
        <v>283</v>
      </c>
      <c r="B284">
        <v>63</v>
      </c>
      <c r="C284" t="s">
        <v>19</v>
      </c>
      <c r="D284" t="s">
        <v>83</v>
      </c>
      <c r="E284" t="s">
        <v>15</v>
      </c>
      <c r="F284" t="s">
        <v>21</v>
      </c>
      <c r="G284" t="s">
        <v>20</v>
      </c>
      <c r="H284">
        <v>195.84</v>
      </c>
    </row>
    <row r="285" spans="1:8">
      <c r="A285">
        <v>284</v>
      </c>
      <c r="B285">
        <v>86</v>
      </c>
      <c r="C285" t="s">
        <v>8</v>
      </c>
      <c r="D285" s="1">
        <v>45539</v>
      </c>
      <c r="E285" t="s">
        <v>15</v>
      </c>
      <c r="F285" t="s">
        <v>21</v>
      </c>
      <c r="G285" t="s">
        <v>11</v>
      </c>
      <c r="H285">
        <v>88.05</v>
      </c>
    </row>
    <row r="286" spans="1:8">
      <c r="A286">
        <v>285</v>
      </c>
      <c r="B286">
        <v>82</v>
      </c>
      <c r="C286" t="s">
        <v>8</v>
      </c>
      <c r="D286" t="s">
        <v>82</v>
      </c>
      <c r="E286" t="s">
        <v>26</v>
      </c>
      <c r="F286" t="s">
        <v>18</v>
      </c>
      <c r="G286" t="s">
        <v>20</v>
      </c>
      <c r="H286">
        <v>97.99</v>
      </c>
    </row>
    <row r="287" spans="1:8">
      <c r="A287">
        <v>286</v>
      </c>
      <c r="B287">
        <v>65</v>
      </c>
      <c r="C287" t="s">
        <v>8</v>
      </c>
      <c r="D287" t="s">
        <v>41</v>
      </c>
      <c r="E287" t="s">
        <v>15</v>
      </c>
      <c r="F287" t="s">
        <v>18</v>
      </c>
      <c r="G287" t="s">
        <v>11</v>
      </c>
      <c r="H287">
        <v>349.24</v>
      </c>
    </row>
    <row r="288" spans="1:8">
      <c r="A288">
        <v>287</v>
      </c>
      <c r="B288">
        <v>14</v>
      </c>
      <c r="C288" t="s">
        <v>8</v>
      </c>
      <c r="D288" t="s">
        <v>94</v>
      </c>
      <c r="E288" t="s">
        <v>15</v>
      </c>
      <c r="F288" t="s">
        <v>18</v>
      </c>
      <c r="G288" t="s">
        <v>20</v>
      </c>
      <c r="H288">
        <v>421.51</v>
      </c>
    </row>
    <row r="289" spans="1:8">
      <c r="A289">
        <v>288</v>
      </c>
      <c r="B289">
        <v>48</v>
      </c>
      <c r="C289" t="s">
        <v>8</v>
      </c>
      <c r="D289" t="s">
        <v>102</v>
      </c>
      <c r="E289" t="s">
        <v>15</v>
      </c>
      <c r="F289" t="s">
        <v>18</v>
      </c>
      <c r="G289" t="s">
        <v>20</v>
      </c>
      <c r="H289">
        <v>422.77</v>
      </c>
    </row>
    <row r="290" spans="1:8">
      <c r="A290">
        <v>289</v>
      </c>
      <c r="B290">
        <v>61</v>
      </c>
      <c r="C290" t="s">
        <v>8</v>
      </c>
      <c r="D290" s="1">
        <v>45475</v>
      </c>
      <c r="E290" t="s">
        <v>15</v>
      </c>
      <c r="F290" t="s">
        <v>10</v>
      </c>
      <c r="G290" t="s">
        <v>16</v>
      </c>
      <c r="H290">
        <v>925.03</v>
      </c>
    </row>
    <row r="291" spans="1:8">
      <c r="A291">
        <v>290</v>
      </c>
      <c r="B291">
        <v>35</v>
      </c>
      <c r="C291" t="s">
        <v>8</v>
      </c>
      <c r="D291" t="s">
        <v>103</v>
      </c>
      <c r="E291" t="s">
        <v>15</v>
      </c>
      <c r="F291" t="s">
        <v>10</v>
      </c>
      <c r="G291" t="s">
        <v>16</v>
      </c>
      <c r="H291">
        <v>319.58</v>
      </c>
    </row>
    <row r="292" spans="1:8">
      <c r="A292">
        <v>291</v>
      </c>
      <c r="B292">
        <v>67</v>
      </c>
      <c r="C292" t="s">
        <v>12</v>
      </c>
      <c r="D292" t="s">
        <v>93</v>
      </c>
      <c r="E292" t="s">
        <v>26</v>
      </c>
      <c r="F292" t="s">
        <v>21</v>
      </c>
      <c r="G292" t="s">
        <v>16</v>
      </c>
      <c r="H292">
        <v>556.41999999999996</v>
      </c>
    </row>
    <row r="293" spans="1:8">
      <c r="A293">
        <v>292</v>
      </c>
      <c r="B293">
        <v>16</v>
      </c>
      <c r="C293" t="s">
        <v>8</v>
      </c>
      <c r="D293" s="1">
        <v>45384</v>
      </c>
      <c r="E293" t="s">
        <v>26</v>
      </c>
      <c r="F293" t="s">
        <v>10</v>
      </c>
      <c r="G293" t="s">
        <v>16</v>
      </c>
      <c r="H293">
        <v>818.54</v>
      </c>
    </row>
    <row r="294" spans="1:8">
      <c r="A294">
        <v>293</v>
      </c>
      <c r="B294">
        <v>44</v>
      </c>
      <c r="C294" t="s">
        <v>8</v>
      </c>
      <c r="D294" s="1">
        <v>45323</v>
      </c>
      <c r="E294" t="s">
        <v>15</v>
      </c>
      <c r="F294" t="s">
        <v>21</v>
      </c>
      <c r="G294" t="s">
        <v>16</v>
      </c>
      <c r="H294">
        <v>320.62</v>
      </c>
    </row>
    <row r="295" spans="1:8">
      <c r="A295">
        <v>294</v>
      </c>
      <c r="B295">
        <v>80</v>
      </c>
      <c r="C295" t="s">
        <v>19</v>
      </c>
      <c r="D295" t="s">
        <v>104</v>
      </c>
      <c r="E295" t="s">
        <v>15</v>
      </c>
      <c r="F295" t="s">
        <v>21</v>
      </c>
      <c r="G295" t="s">
        <v>20</v>
      </c>
      <c r="H295">
        <v>178.82</v>
      </c>
    </row>
    <row r="296" spans="1:8">
      <c r="A296">
        <v>295</v>
      </c>
      <c r="B296">
        <v>83</v>
      </c>
      <c r="C296" t="s">
        <v>8</v>
      </c>
      <c r="D296" t="s">
        <v>87</v>
      </c>
      <c r="E296" t="s">
        <v>26</v>
      </c>
      <c r="F296" t="s">
        <v>18</v>
      </c>
      <c r="G296" t="s">
        <v>20</v>
      </c>
      <c r="H296">
        <v>237.65</v>
      </c>
    </row>
    <row r="297" spans="1:8">
      <c r="A297">
        <v>296</v>
      </c>
      <c r="B297">
        <v>93</v>
      </c>
      <c r="C297" t="s">
        <v>8</v>
      </c>
      <c r="D297" t="s">
        <v>59</v>
      </c>
      <c r="E297" t="s">
        <v>9</v>
      </c>
      <c r="F297" t="s">
        <v>21</v>
      </c>
      <c r="G297" t="s">
        <v>20</v>
      </c>
      <c r="H297">
        <v>658.16</v>
      </c>
    </row>
    <row r="298" spans="1:8">
      <c r="A298">
        <v>297</v>
      </c>
      <c r="B298">
        <v>43</v>
      </c>
      <c r="C298" t="s">
        <v>8</v>
      </c>
      <c r="D298" t="s">
        <v>105</v>
      </c>
      <c r="E298" t="s">
        <v>26</v>
      </c>
      <c r="F298" t="s">
        <v>10</v>
      </c>
      <c r="G298" t="s">
        <v>11</v>
      </c>
      <c r="H298">
        <v>326.58</v>
      </c>
    </row>
    <row r="299" spans="1:8">
      <c r="A299">
        <v>298</v>
      </c>
      <c r="B299">
        <v>87</v>
      </c>
      <c r="C299" t="s">
        <v>19</v>
      </c>
      <c r="D299" t="s">
        <v>47</v>
      </c>
      <c r="E299" t="s">
        <v>26</v>
      </c>
      <c r="F299" t="s">
        <v>10</v>
      </c>
      <c r="G299" t="s">
        <v>20</v>
      </c>
      <c r="H299">
        <v>301.61</v>
      </c>
    </row>
    <row r="300" spans="1:8">
      <c r="A300">
        <v>299</v>
      </c>
      <c r="B300">
        <v>56</v>
      </c>
      <c r="C300" t="s">
        <v>19</v>
      </c>
      <c r="D300" t="s">
        <v>102</v>
      </c>
      <c r="E300" t="s">
        <v>26</v>
      </c>
      <c r="F300" t="s">
        <v>10</v>
      </c>
      <c r="G300" t="s">
        <v>11</v>
      </c>
      <c r="H300">
        <v>357.56</v>
      </c>
    </row>
    <row r="301" spans="1:8">
      <c r="A301">
        <v>300</v>
      </c>
      <c r="B301">
        <v>3</v>
      </c>
      <c r="C301" t="s">
        <v>12</v>
      </c>
      <c r="D301" t="s">
        <v>13</v>
      </c>
      <c r="E301" t="s">
        <v>15</v>
      </c>
      <c r="F301" t="s">
        <v>18</v>
      </c>
      <c r="G301" t="s">
        <v>20</v>
      </c>
      <c r="H301">
        <v>358.21</v>
      </c>
    </row>
    <row r="302" spans="1:8">
      <c r="A302">
        <v>301</v>
      </c>
      <c r="B302">
        <v>22</v>
      </c>
      <c r="C302" t="s">
        <v>8</v>
      </c>
      <c r="D302" s="1">
        <v>45356</v>
      </c>
      <c r="E302" t="s">
        <v>26</v>
      </c>
      <c r="F302" t="s">
        <v>21</v>
      </c>
      <c r="G302" t="s">
        <v>20</v>
      </c>
      <c r="H302">
        <v>89.91</v>
      </c>
    </row>
    <row r="303" spans="1:8">
      <c r="A303">
        <v>302</v>
      </c>
      <c r="B303">
        <v>85</v>
      </c>
      <c r="C303" t="s">
        <v>19</v>
      </c>
      <c r="D303" s="1">
        <v>45448</v>
      </c>
      <c r="E303" t="s">
        <v>15</v>
      </c>
      <c r="F303" t="s">
        <v>10</v>
      </c>
      <c r="G303" t="s">
        <v>16</v>
      </c>
      <c r="H303">
        <v>18.420000000000002</v>
      </c>
    </row>
    <row r="304" spans="1:8">
      <c r="A304">
        <v>303</v>
      </c>
      <c r="B304">
        <v>80</v>
      </c>
      <c r="C304" t="s">
        <v>12</v>
      </c>
      <c r="D304" t="s">
        <v>106</v>
      </c>
      <c r="E304" t="s">
        <v>9</v>
      </c>
      <c r="F304" t="s">
        <v>21</v>
      </c>
      <c r="G304" t="s">
        <v>11</v>
      </c>
      <c r="H304">
        <v>294.31</v>
      </c>
    </row>
    <row r="305" spans="1:8">
      <c r="A305">
        <v>304</v>
      </c>
      <c r="B305">
        <v>17</v>
      </c>
      <c r="C305" t="s">
        <v>12</v>
      </c>
      <c r="D305" t="s">
        <v>46</v>
      </c>
      <c r="E305" t="s">
        <v>15</v>
      </c>
      <c r="F305" t="s">
        <v>10</v>
      </c>
      <c r="G305" t="s">
        <v>11</v>
      </c>
      <c r="H305">
        <v>865.96</v>
      </c>
    </row>
    <row r="306" spans="1:8">
      <c r="A306">
        <v>305</v>
      </c>
      <c r="B306">
        <v>35</v>
      </c>
      <c r="C306" t="s">
        <v>19</v>
      </c>
      <c r="D306" s="1">
        <v>45632</v>
      </c>
      <c r="E306" t="s">
        <v>9</v>
      </c>
      <c r="F306" t="s">
        <v>10</v>
      </c>
      <c r="G306" t="s">
        <v>11</v>
      </c>
      <c r="H306">
        <v>578.28</v>
      </c>
    </row>
    <row r="307" spans="1:8">
      <c r="A307">
        <v>306</v>
      </c>
      <c r="B307">
        <v>39</v>
      </c>
      <c r="C307" t="s">
        <v>8</v>
      </c>
      <c r="D307" t="s">
        <v>107</v>
      </c>
      <c r="E307" t="s">
        <v>26</v>
      </c>
      <c r="F307" t="s">
        <v>18</v>
      </c>
      <c r="G307" t="s">
        <v>11</v>
      </c>
      <c r="H307">
        <v>495.87</v>
      </c>
    </row>
    <row r="308" spans="1:8">
      <c r="A308">
        <v>307</v>
      </c>
      <c r="B308">
        <v>30</v>
      </c>
      <c r="C308" t="s">
        <v>12</v>
      </c>
      <c r="D308" t="s">
        <v>41</v>
      </c>
      <c r="E308" t="s">
        <v>9</v>
      </c>
      <c r="F308" t="s">
        <v>10</v>
      </c>
      <c r="G308" t="s">
        <v>11</v>
      </c>
      <c r="H308">
        <v>728.39</v>
      </c>
    </row>
    <row r="309" spans="1:8">
      <c r="A309">
        <v>308</v>
      </c>
      <c r="B309">
        <v>47</v>
      </c>
      <c r="C309" t="s">
        <v>19</v>
      </c>
      <c r="D309" s="1">
        <v>45505</v>
      </c>
      <c r="E309" t="s">
        <v>9</v>
      </c>
      <c r="F309" t="s">
        <v>10</v>
      </c>
      <c r="G309" t="s">
        <v>20</v>
      </c>
      <c r="H309">
        <v>949.72</v>
      </c>
    </row>
    <row r="310" spans="1:8">
      <c r="A310">
        <v>309</v>
      </c>
      <c r="B310">
        <v>24</v>
      </c>
      <c r="C310" t="s">
        <v>8</v>
      </c>
      <c r="D310" t="s">
        <v>44</v>
      </c>
      <c r="E310" t="s">
        <v>9</v>
      </c>
      <c r="F310" t="s">
        <v>21</v>
      </c>
      <c r="G310" t="s">
        <v>20</v>
      </c>
      <c r="H310">
        <v>56.12</v>
      </c>
    </row>
    <row r="311" spans="1:8">
      <c r="A311">
        <v>310</v>
      </c>
      <c r="B311">
        <v>76</v>
      </c>
      <c r="C311" t="s">
        <v>8</v>
      </c>
      <c r="D311" t="s">
        <v>102</v>
      </c>
      <c r="E311" t="s">
        <v>9</v>
      </c>
      <c r="F311" t="s">
        <v>21</v>
      </c>
      <c r="G311" t="s">
        <v>16</v>
      </c>
      <c r="H311">
        <v>56.35</v>
      </c>
    </row>
    <row r="312" spans="1:8">
      <c r="A312">
        <v>311</v>
      </c>
      <c r="B312">
        <v>38</v>
      </c>
      <c r="C312" t="s">
        <v>8</v>
      </c>
      <c r="D312" s="1">
        <v>45508</v>
      </c>
      <c r="E312" t="s">
        <v>15</v>
      </c>
      <c r="F312" t="s">
        <v>10</v>
      </c>
      <c r="G312" t="s">
        <v>20</v>
      </c>
      <c r="H312">
        <v>651.35</v>
      </c>
    </row>
    <row r="313" spans="1:8">
      <c r="A313">
        <v>312</v>
      </c>
      <c r="B313">
        <v>47</v>
      </c>
      <c r="C313" t="s">
        <v>19</v>
      </c>
      <c r="D313" t="s">
        <v>33</v>
      </c>
      <c r="E313" t="s">
        <v>9</v>
      </c>
      <c r="F313" t="s">
        <v>10</v>
      </c>
      <c r="G313" t="s">
        <v>20</v>
      </c>
      <c r="H313">
        <v>471.27</v>
      </c>
    </row>
    <row r="314" spans="1:8">
      <c r="A314">
        <v>313</v>
      </c>
      <c r="B314">
        <v>82</v>
      </c>
      <c r="C314" t="s">
        <v>19</v>
      </c>
      <c r="D314" t="s">
        <v>85</v>
      </c>
      <c r="E314" t="s">
        <v>26</v>
      </c>
      <c r="F314" t="s">
        <v>21</v>
      </c>
      <c r="G314" t="s">
        <v>11</v>
      </c>
      <c r="H314">
        <v>732.6</v>
      </c>
    </row>
    <row r="315" spans="1:8">
      <c r="A315">
        <v>314</v>
      </c>
      <c r="B315">
        <v>36</v>
      </c>
      <c r="C315" t="s">
        <v>19</v>
      </c>
      <c r="D315" t="s">
        <v>34</v>
      </c>
      <c r="E315" t="s">
        <v>9</v>
      </c>
      <c r="F315" t="s">
        <v>10</v>
      </c>
      <c r="G315" t="s">
        <v>16</v>
      </c>
      <c r="H315">
        <v>865.3</v>
      </c>
    </row>
    <row r="316" spans="1:8">
      <c r="A316">
        <v>315</v>
      </c>
      <c r="B316">
        <v>40</v>
      </c>
      <c r="C316" t="s">
        <v>12</v>
      </c>
      <c r="D316" t="s">
        <v>23</v>
      </c>
      <c r="E316" t="s">
        <v>15</v>
      </c>
      <c r="F316" t="s">
        <v>10</v>
      </c>
      <c r="G316" t="s">
        <v>16</v>
      </c>
      <c r="H316">
        <v>49.2</v>
      </c>
    </row>
    <row r="317" spans="1:8">
      <c r="A317">
        <v>316</v>
      </c>
      <c r="B317">
        <v>28</v>
      </c>
      <c r="C317" t="s">
        <v>19</v>
      </c>
      <c r="D317" s="1">
        <v>45541</v>
      </c>
      <c r="E317" t="s">
        <v>26</v>
      </c>
      <c r="F317" t="s">
        <v>18</v>
      </c>
      <c r="G317" t="s">
        <v>20</v>
      </c>
      <c r="H317">
        <v>567.72</v>
      </c>
    </row>
    <row r="318" spans="1:8">
      <c r="A318">
        <v>317</v>
      </c>
      <c r="B318">
        <v>31</v>
      </c>
      <c r="C318" t="s">
        <v>19</v>
      </c>
      <c r="D318" s="1">
        <v>45536</v>
      </c>
      <c r="E318" t="s">
        <v>26</v>
      </c>
      <c r="F318" t="s">
        <v>21</v>
      </c>
      <c r="G318" t="s">
        <v>11</v>
      </c>
      <c r="H318">
        <v>490.53</v>
      </c>
    </row>
    <row r="319" spans="1:8">
      <c r="A319">
        <v>318</v>
      </c>
      <c r="B319">
        <v>34</v>
      </c>
      <c r="C319" t="s">
        <v>12</v>
      </c>
      <c r="D319" s="1">
        <v>45354</v>
      </c>
      <c r="E319" t="s">
        <v>9</v>
      </c>
      <c r="F319" t="s">
        <v>10</v>
      </c>
      <c r="G319" t="s">
        <v>20</v>
      </c>
      <c r="H319">
        <v>11.38</v>
      </c>
    </row>
    <row r="320" spans="1:8">
      <c r="A320">
        <v>319</v>
      </c>
      <c r="B320">
        <v>56</v>
      </c>
      <c r="C320" t="s">
        <v>12</v>
      </c>
      <c r="D320" t="s">
        <v>33</v>
      </c>
      <c r="E320" t="s">
        <v>9</v>
      </c>
      <c r="F320" t="s">
        <v>21</v>
      </c>
      <c r="G320" t="s">
        <v>11</v>
      </c>
      <c r="H320">
        <v>409.72</v>
      </c>
    </row>
    <row r="321" spans="1:8">
      <c r="A321">
        <v>320</v>
      </c>
      <c r="B321">
        <v>45</v>
      </c>
      <c r="C321" t="s">
        <v>12</v>
      </c>
      <c r="D321" s="1">
        <v>45413</v>
      </c>
      <c r="E321" t="s">
        <v>9</v>
      </c>
      <c r="F321" t="s">
        <v>10</v>
      </c>
      <c r="G321" t="s">
        <v>11</v>
      </c>
      <c r="H321">
        <v>515.07000000000005</v>
      </c>
    </row>
    <row r="322" spans="1:8">
      <c r="A322">
        <v>321</v>
      </c>
      <c r="B322">
        <v>32</v>
      </c>
      <c r="C322" t="s">
        <v>8</v>
      </c>
      <c r="D322" s="1">
        <v>45449</v>
      </c>
      <c r="E322" t="s">
        <v>9</v>
      </c>
      <c r="F322" t="s">
        <v>21</v>
      </c>
      <c r="G322" t="s">
        <v>11</v>
      </c>
      <c r="H322">
        <v>42.44</v>
      </c>
    </row>
    <row r="323" spans="1:8">
      <c r="A323">
        <v>322</v>
      </c>
      <c r="B323">
        <v>54</v>
      </c>
      <c r="C323" t="s">
        <v>12</v>
      </c>
      <c r="D323" t="s">
        <v>108</v>
      </c>
      <c r="E323" t="s">
        <v>15</v>
      </c>
      <c r="F323" t="s">
        <v>18</v>
      </c>
      <c r="G323" t="s">
        <v>16</v>
      </c>
      <c r="H323">
        <v>883.58</v>
      </c>
    </row>
    <row r="324" spans="1:8">
      <c r="A324">
        <v>323</v>
      </c>
      <c r="B324">
        <v>44</v>
      </c>
      <c r="C324" t="s">
        <v>8</v>
      </c>
      <c r="D324" s="1">
        <v>45510</v>
      </c>
      <c r="E324" t="s">
        <v>15</v>
      </c>
      <c r="F324" t="s">
        <v>10</v>
      </c>
      <c r="G324" t="s">
        <v>16</v>
      </c>
      <c r="H324">
        <v>624.98</v>
      </c>
    </row>
    <row r="325" spans="1:8">
      <c r="A325">
        <v>324</v>
      </c>
      <c r="B325">
        <v>97</v>
      </c>
      <c r="C325" t="s">
        <v>12</v>
      </c>
      <c r="D325" s="1">
        <v>45447</v>
      </c>
      <c r="E325" t="s">
        <v>9</v>
      </c>
      <c r="F325" t="s">
        <v>10</v>
      </c>
      <c r="G325" t="s">
        <v>20</v>
      </c>
      <c r="H325">
        <v>195.74</v>
      </c>
    </row>
    <row r="326" spans="1:8">
      <c r="A326">
        <v>325</v>
      </c>
      <c r="B326">
        <v>15</v>
      </c>
      <c r="C326" t="s">
        <v>12</v>
      </c>
      <c r="D326" t="s">
        <v>109</v>
      </c>
      <c r="E326" t="s">
        <v>15</v>
      </c>
      <c r="F326" t="s">
        <v>21</v>
      </c>
      <c r="G326" t="s">
        <v>20</v>
      </c>
      <c r="H326">
        <v>241.22</v>
      </c>
    </row>
    <row r="327" spans="1:8">
      <c r="A327">
        <v>326</v>
      </c>
      <c r="B327">
        <v>97</v>
      </c>
      <c r="C327" t="s">
        <v>19</v>
      </c>
      <c r="D327" t="s">
        <v>110</v>
      </c>
      <c r="E327" t="s">
        <v>9</v>
      </c>
      <c r="F327" t="s">
        <v>10</v>
      </c>
      <c r="G327" t="s">
        <v>20</v>
      </c>
      <c r="H327">
        <v>441.18</v>
      </c>
    </row>
    <row r="328" spans="1:8">
      <c r="A328">
        <v>327</v>
      </c>
      <c r="B328">
        <v>17</v>
      </c>
      <c r="C328" t="s">
        <v>8</v>
      </c>
      <c r="D328" s="1">
        <v>45295</v>
      </c>
      <c r="E328" t="s">
        <v>9</v>
      </c>
      <c r="F328" t="s">
        <v>18</v>
      </c>
      <c r="G328" t="s">
        <v>20</v>
      </c>
      <c r="H328">
        <v>274.08999999999997</v>
      </c>
    </row>
    <row r="329" spans="1:8">
      <c r="A329">
        <v>328</v>
      </c>
      <c r="B329">
        <v>91</v>
      </c>
      <c r="C329" t="s">
        <v>12</v>
      </c>
      <c r="D329" s="1">
        <v>45510</v>
      </c>
      <c r="E329" t="s">
        <v>26</v>
      </c>
      <c r="F329" t="s">
        <v>21</v>
      </c>
      <c r="G329" t="s">
        <v>11</v>
      </c>
      <c r="H329">
        <v>268.52</v>
      </c>
    </row>
    <row r="330" spans="1:8">
      <c r="A330">
        <v>329</v>
      </c>
      <c r="B330">
        <v>92</v>
      </c>
      <c r="C330" t="s">
        <v>8</v>
      </c>
      <c r="D330" s="1">
        <v>45323</v>
      </c>
      <c r="E330" t="s">
        <v>9</v>
      </c>
      <c r="F330" t="s">
        <v>18</v>
      </c>
      <c r="G330" t="s">
        <v>16</v>
      </c>
      <c r="H330">
        <v>170.44</v>
      </c>
    </row>
    <row r="331" spans="1:8">
      <c r="A331">
        <v>330</v>
      </c>
      <c r="B331">
        <v>72</v>
      </c>
      <c r="C331" t="s">
        <v>12</v>
      </c>
      <c r="D331" s="1">
        <v>45294</v>
      </c>
      <c r="E331" t="s">
        <v>9</v>
      </c>
      <c r="F331" t="s">
        <v>21</v>
      </c>
      <c r="G331" t="s">
        <v>16</v>
      </c>
      <c r="H331">
        <v>386.43</v>
      </c>
    </row>
    <row r="332" spans="1:8">
      <c r="A332">
        <v>331</v>
      </c>
      <c r="B332">
        <v>74</v>
      </c>
      <c r="C332" t="s">
        <v>12</v>
      </c>
      <c r="D332" s="1">
        <v>45294</v>
      </c>
      <c r="E332" t="s">
        <v>26</v>
      </c>
      <c r="F332" t="s">
        <v>10</v>
      </c>
      <c r="G332" t="s">
        <v>20</v>
      </c>
      <c r="H332">
        <v>970.98</v>
      </c>
    </row>
    <row r="333" spans="1:8">
      <c r="A333">
        <v>332</v>
      </c>
      <c r="B333">
        <v>7</v>
      </c>
      <c r="C333" t="s">
        <v>12</v>
      </c>
      <c r="D333" t="s">
        <v>66</v>
      </c>
      <c r="E333" t="s">
        <v>9</v>
      </c>
      <c r="F333" t="s">
        <v>10</v>
      </c>
      <c r="G333" t="s">
        <v>16</v>
      </c>
      <c r="H333">
        <v>751.73</v>
      </c>
    </row>
    <row r="334" spans="1:8">
      <c r="A334">
        <v>333</v>
      </c>
      <c r="B334">
        <v>24</v>
      </c>
      <c r="C334" t="s">
        <v>12</v>
      </c>
      <c r="D334" t="s">
        <v>93</v>
      </c>
      <c r="E334" t="s">
        <v>9</v>
      </c>
      <c r="F334" t="s">
        <v>10</v>
      </c>
      <c r="G334" t="s">
        <v>16</v>
      </c>
      <c r="H334">
        <v>285.85000000000002</v>
      </c>
    </row>
    <row r="335" spans="1:8">
      <c r="A335">
        <v>334</v>
      </c>
      <c r="B335">
        <v>10</v>
      </c>
      <c r="C335" t="s">
        <v>8</v>
      </c>
      <c r="D335" t="s">
        <v>55</v>
      </c>
      <c r="E335" t="s">
        <v>15</v>
      </c>
      <c r="F335" t="s">
        <v>18</v>
      </c>
      <c r="G335" t="s">
        <v>20</v>
      </c>
      <c r="H335">
        <v>478.75</v>
      </c>
    </row>
    <row r="336" spans="1:8">
      <c r="A336">
        <v>335</v>
      </c>
      <c r="B336">
        <v>26</v>
      </c>
      <c r="C336" t="s">
        <v>19</v>
      </c>
      <c r="D336" t="s">
        <v>87</v>
      </c>
      <c r="E336" t="s">
        <v>26</v>
      </c>
      <c r="F336" t="s">
        <v>10</v>
      </c>
      <c r="G336" t="s">
        <v>16</v>
      </c>
      <c r="H336">
        <v>884.79</v>
      </c>
    </row>
    <row r="337" spans="1:8">
      <c r="A337">
        <v>336</v>
      </c>
      <c r="B337">
        <v>92</v>
      </c>
      <c r="C337" t="s">
        <v>19</v>
      </c>
      <c r="D337" t="s">
        <v>111</v>
      </c>
      <c r="E337" t="s">
        <v>26</v>
      </c>
      <c r="F337" t="s">
        <v>21</v>
      </c>
      <c r="G337" t="s">
        <v>16</v>
      </c>
      <c r="H337">
        <v>44.73</v>
      </c>
    </row>
    <row r="338" spans="1:8">
      <c r="A338">
        <v>337</v>
      </c>
      <c r="B338">
        <v>68</v>
      </c>
      <c r="C338" t="s">
        <v>19</v>
      </c>
      <c r="D338" t="s">
        <v>54</v>
      </c>
      <c r="E338" t="s">
        <v>9</v>
      </c>
      <c r="F338" t="s">
        <v>10</v>
      </c>
      <c r="G338" t="s">
        <v>16</v>
      </c>
      <c r="H338">
        <v>952.79</v>
      </c>
    </row>
    <row r="339" spans="1:8">
      <c r="A339">
        <v>338</v>
      </c>
      <c r="B339">
        <v>31</v>
      </c>
      <c r="C339" t="s">
        <v>19</v>
      </c>
      <c r="D339" s="1">
        <v>45352</v>
      </c>
      <c r="E339" t="s">
        <v>9</v>
      </c>
      <c r="F339" t="s">
        <v>21</v>
      </c>
      <c r="G339" t="s">
        <v>20</v>
      </c>
      <c r="H339">
        <v>959.59</v>
      </c>
    </row>
    <row r="340" spans="1:8">
      <c r="A340">
        <v>339</v>
      </c>
      <c r="B340">
        <v>41</v>
      </c>
      <c r="C340" t="s">
        <v>8</v>
      </c>
      <c r="D340" t="s">
        <v>14</v>
      </c>
      <c r="E340" t="s">
        <v>9</v>
      </c>
      <c r="F340" t="s">
        <v>21</v>
      </c>
      <c r="G340" t="s">
        <v>11</v>
      </c>
      <c r="H340">
        <v>312.25</v>
      </c>
    </row>
    <row r="341" spans="1:8">
      <c r="A341">
        <v>340</v>
      </c>
      <c r="B341">
        <v>95</v>
      </c>
      <c r="C341" t="s">
        <v>19</v>
      </c>
      <c r="D341" t="s">
        <v>95</v>
      </c>
      <c r="E341" t="s">
        <v>9</v>
      </c>
      <c r="F341" t="s">
        <v>10</v>
      </c>
      <c r="G341" t="s">
        <v>11</v>
      </c>
      <c r="H341">
        <v>658.47</v>
      </c>
    </row>
    <row r="342" spans="1:8">
      <c r="A342">
        <v>341</v>
      </c>
      <c r="B342">
        <v>17</v>
      </c>
      <c r="C342" t="s">
        <v>12</v>
      </c>
      <c r="D342" s="1">
        <v>45356</v>
      </c>
      <c r="E342" t="s">
        <v>26</v>
      </c>
      <c r="F342" t="s">
        <v>10</v>
      </c>
      <c r="G342" t="s">
        <v>20</v>
      </c>
      <c r="H342">
        <v>243.25</v>
      </c>
    </row>
    <row r="343" spans="1:8">
      <c r="A343">
        <v>342</v>
      </c>
      <c r="B343">
        <v>4</v>
      </c>
      <c r="C343" t="s">
        <v>19</v>
      </c>
      <c r="D343" t="s">
        <v>54</v>
      </c>
      <c r="E343" t="s">
        <v>15</v>
      </c>
      <c r="F343" t="s">
        <v>21</v>
      </c>
      <c r="G343" t="s">
        <v>16</v>
      </c>
      <c r="H343">
        <v>199.65</v>
      </c>
    </row>
    <row r="344" spans="1:8">
      <c r="A344">
        <v>343</v>
      </c>
      <c r="B344">
        <v>96</v>
      </c>
      <c r="C344" t="s">
        <v>12</v>
      </c>
      <c r="D344" t="s">
        <v>83</v>
      </c>
      <c r="E344" t="s">
        <v>9</v>
      </c>
      <c r="F344" t="s">
        <v>10</v>
      </c>
      <c r="G344" t="s">
        <v>11</v>
      </c>
      <c r="H344">
        <v>471.43</v>
      </c>
    </row>
    <row r="345" spans="1:8">
      <c r="A345">
        <v>344</v>
      </c>
      <c r="B345">
        <v>81</v>
      </c>
      <c r="C345" t="s">
        <v>12</v>
      </c>
      <c r="D345" s="1">
        <v>45445</v>
      </c>
      <c r="E345" t="s">
        <v>9</v>
      </c>
      <c r="F345" t="s">
        <v>21</v>
      </c>
      <c r="G345" t="s">
        <v>11</v>
      </c>
      <c r="H345">
        <v>756.85</v>
      </c>
    </row>
    <row r="346" spans="1:8">
      <c r="A346">
        <v>345</v>
      </c>
      <c r="B346">
        <v>61</v>
      </c>
      <c r="C346" t="s">
        <v>8</v>
      </c>
      <c r="D346" t="s">
        <v>68</v>
      </c>
      <c r="E346" t="s">
        <v>15</v>
      </c>
      <c r="F346" t="s">
        <v>18</v>
      </c>
      <c r="G346" t="s">
        <v>11</v>
      </c>
      <c r="H346">
        <v>369.06</v>
      </c>
    </row>
    <row r="347" spans="1:8">
      <c r="A347">
        <v>346</v>
      </c>
      <c r="B347">
        <v>97</v>
      </c>
      <c r="C347" t="s">
        <v>19</v>
      </c>
      <c r="D347" t="s">
        <v>112</v>
      </c>
      <c r="E347" t="s">
        <v>26</v>
      </c>
      <c r="F347" t="s">
        <v>10</v>
      </c>
      <c r="G347" t="s">
        <v>20</v>
      </c>
      <c r="H347">
        <v>326.19</v>
      </c>
    </row>
    <row r="348" spans="1:8">
      <c r="A348">
        <v>347</v>
      </c>
      <c r="B348">
        <v>90</v>
      </c>
      <c r="C348" t="s">
        <v>12</v>
      </c>
      <c r="D348" t="s">
        <v>50</v>
      </c>
      <c r="E348" t="s">
        <v>9</v>
      </c>
      <c r="F348" t="s">
        <v>10</v>
      </c>
      <c r="G348" t="s">
        <v>11</v>
      </c>
      <c r="H348">
        <v>22.07</v>
      </c>
    </row>
    <row r="349" spans="1:8">
      <c r="A349">
        <v>348</v>
      </c>
      <c r="B349">
        <v>29</v>
      </c>
      <c r="C349" t="s">
        <v>19</v>
      </c>
      <c r="D349" t="s">
        <v>113</v>
      </c>
      <c r="E349" t="s">
        <v>9</v>
      </c>
      <c r="F349" t="s">
        <v>18</v>
      </c>
      <c r="G349" t="s">
        <v>11</v>
      </c>
      <c r="H349">
        <v>825.33</v>
      </c>
    </row>
    <row r="350" spans="1:8">
      <c r="A350">
        <v>349</v>
      </c>
      <c r="B350">
        <v>45</v>
      </c>
      <c r="C350" t="s">
        <v>19</v>
      </c>
      <c r="D350" t="s">
        <v>29</v>
      </c>
      <c r="E350" t="s">
        <v>26</v>
      </c>
      <c r="F350" t="s">
        <v>10</v>
      </c>
      <c r="G350" t="s">
        <v>16</v>
      </c>
      <c r="H350">
        <v>697.77</v>
      </c>
    </row>
    <row r="351" spans="1:8">
      <c r="A351">
        <v>350</v>
      </c>
      <c r="B351">
        <v>33</v>
      </c>
      <c r="C351" t="s">
        <v>8</v>
      </c>
      <c r="D351" t="s">
        <v>43</v>
      </c>
      <c r="E351" t="s">
        <v>9</v>
      </c>
      <c r="F351" t="s">
        <v>21</v>
      </c>
      <c r="G351" t="s">
        <v>11</v>
      </c>
      <c r="H351">
        <v>417.1</v>
      </c>
    </row>
    <row r="352" spans="1:8">
      <c r="A352">
        <v>351</v>
      </c>
      <c r="B352">
        <v>44</v>
      </c>
      <c r="C352" t="s">
        <v>19</v>
      </c>
      <c r="D352" s="1">
        <v>45479</v>
      </c>
      <c r="E352" t="s">
        <v>26</v>
      </c>
      <c r="F352" t="s">
        <v>10</v>
      </c>
      <c r="G352" t="s">
        <v>11</v>
      </c>
      <c r="H352">
        <v>74.81</v>
      </c>
    </row>
    <row r="353" spans="1:8">
      <c r="A353">
        <v>352</v>
      </c>
      <c r="B353">
        <v>30</v>
      </c>
      <c r="C353" t="s">
        <v>12</v>
      </c>
      <c r="D353" t="s">
        <v>48</v>
      </c>
      <c r="E353" t="s">
        <v>26</v>
      </c>
      <c r="F353" t="s">
        <v>10</v>
      </c>
      <c r="G353" t="s">
        <v>11</v>
      </c>
      <c r="H353">
        <v>104.54</v>
      </c>
    </row>
    <row r="354" spans="1:8">
      <c r="A354">
        <v>353</v>
      </c>
      <c r="B354">
        <v>29</v>
      </c>
      <c r="C354" t="s">
        <v>12</v>
      </c>
      <c r="D354" t="s">
        <v>112</v>
      </c>
      <c r="E354" t="s">
        <v>9</v>
      </c>
      <c r="F354" t="s">
        <v>18</v>
      </c>
      <c r="G354" t="s">
        <v>20</v>
      </c>
      <c r="H354">
        <v>480.07</v>
      </c>
    </row>
    <row r="355" spans="1:8">
      <c r="A355">
        <v>354</v>
      </c>
      <c r="B355">
        <v>26</v>
      </c>
      <c r="C355" t="s">
        <v>8</v>
      </c>
      <c r="D355" t="s">
        <v>114</v>
      </c>
      <c r="E355" t="s">
        <v>26</v>
      </c>
      <c r="F355" t="s">
        <v>10</v>
      </c>
      <c r="G355" t="s">
        <v>20</v>
      </c>
      <c r="H355">
        <v>842.37</v>
      </c>
    </row>
    <row r="356" spans="1:8">
      <c r="A356">
        <v>355</v>
      </c>
      <c r="B356">
        <v>18</v>
      </c>
      <c r="C356" t="s">
        <v>19</v>
      </c>
      <c r="D356" s="1">
        <v>45629</v>
      </c>
      <c r="E356" t="s">
        <v>15</v>
      </c>
      <c r="F356" t="s">
        <v>18</v>
      </c>
      <c r="G356" t="s">
        <v>20</v>
      </c>
      <c r="H356">
        <v>422.03</v>
      </c>
    </row>
    <row r="357" spans="1:8">
      <c r="A357">
        <v>356</v>
      </c>
      <c r="B357">
        <v>9</v>
      </c>
      <c r="C357" t="s">
        <v>12</v>
      </c>
      <c r="D357" s="1">
        <v>45353</v>
      </c>
      <c r="E357" t="s">
        <v>15</v>
      </c>
      <c r="F357" t="s">
        <v>18</v>
      </c>
      <c r="G357" t="s">
        <v>11</v>
      </c>
      <c r="H357">
        <v>161.41</v>
      </c>
    </row>
    <row r="358" spans="1:8">
      <c r="A358">
        <v>357</v>
      </c>
      <c r="B358">
        <v>50</v>
      </c>
      <c r="C358" t="s">
        <v>19</v>
      </c>
      <c r="D358" s="1">
        <v>45506</v>
      </c>
      <c r="E358" t="s">
        <v>9</v>
      </c>
      <c r="F358" t="s">
        <v>18</v>
      </c>
      <c r="G358" t="s">
        <v>11</v>
      </c>
      <c r="H358">
        <v>361.26</v>
      </c>
    </row>
    <row r="359" spans="1:8">
      <c r="A359">
        <v>358</v>
      </c>
      <c r="B359">
        <v>71</v>
      </c>
      <c r="C359" t="s">
        <v>19</v>
      </c>
      <c r="D359" t="s">
        <v>82</v>
      </c>
      <c r="E359" t="s">
        <v>26</v>
      </c>
      <c r="F359" t="s">
        <v>18</v>
      </c>
      <c r="G359" t="s">
        <v>16</v>
      </c>
      <c r="H359">
        <v>999.25</v>
      </c>
    </row>
    <row r="360" spans="1:8">
      <c r="A360">
        <v>359</v>
      </c>
      <c r="B360">
        <v>27</v>
      </c>
      <c r="C360" t="s">
        <v>12</v>
      </c>
      <c r="D360" t="s">
        <v>64</v>
      </c>
      <c r="E360" t="s">
        <v>15</v>
      </c>
      <c r="F360" t="s">
        <v>18</v>
      </c>
      <c r="G360" t="s">
        <v>16</v>
      </c>
      <c r="H360">
        <v>495.53</v>
      </c>
    </row>
    <row r="361" spans="1:8">
      <c r="A361">
        <v>360</v>
      </c>
      <c r="B361">
        <v>82</v>
      </c>
      <c r="C361" t="s">
        <v>12</v>
      </c>
      <c r="D361" s="1">
        <v>45328</v>
      </c>
      <c r="E361" t="s">
        <v>15</v>
      </c>
      <c r="F361" t="s">
        <v>21</v>
      </c>
      <c r="G361" t="s">
        <v>11</v>
      </c>
      <c r="H361">
        <v>40.89</v>
      </c>
    </row>
    <row r="362" spans="1:8">
      <c r="A362">
        <v>361</v>
      </c>
      <c r="B362">
        <v>19</v>
      </c>
      <c r="C362" t="s">
        <v>12</v>
      </c>
      <c r="D362" s="1">
        <v>45479</v>
      </c>
      <c r="E362" t="s">
        <v>9</v>
      </c>
      <c r="F362" t="s">
        <v>21</v>
      </c>
      <c r="G362" t="s">
        <v>20</v>
      </c>
      <c r="H362">
        <v>444.31</v>
      </c>
    </row>
    <row r="363" spans="1:8">
      <c r="A363">
        <v>362</v>
      </c>
      <c r="B363">
        <v>45</v>
      </c>
      <c r="C363" t="s">
        <v>8</v>
      </c>
      <c r="D363" t="s">
        <v>28</v>
      </c>
      <c r="E363" t="s">
        <v>26</v>
      </c>
      <c r="F363" t="s">
        <v>10</v>
      </c>
      <c r="G363" t="s">
        <v>20</v>
      </c>
      <c r="H363">
        <v>739.69</v>
      </c>
    </row>
    <row r="364" spans="1:8">
      <c r="A364">
        <v>363</v>
      </c>
      <c r="B364">
        <v>12</v>
      </c>
      <c r="C364" t="s">
        <v>8</v>
      </c>
      <c r="D364" t="s">
        <v>28</v>
      </c>
      <c r="E364" t="s">
        <v>15</v>
      </c>
      <c r="F364" t="s">
        <v>10</v>
      </c>
      <c r="G364" t="s">
        <v>11</v>
      </c>
      <c r="H364">
        <v>577.64</v>
      </c>
    </row>
    <row r="365" spans="1:8">
      <c r="A365">
        <v>364</v>
      </c>
      <c r="B365">
        <v>54</v>
      </c>
      <c r="C365" t="s">
        <v>12</v>
      </c>
      <c r="D365" t="s">
        <v>89</v>
      </c>
      <c r="E365" t="s">
        <v>9</v>
      </c>
      <c r="F365" t="s">
        <v>10</v>
      </c>
      <c r="G365" t="s">
        <v>11</v>
      </c>
      <c r="H365">
        <v>230.65</v>
      </c>
    </row>
    <row r="366" spans="1:8">
      <c r="A366">
        <v>365</v>
      </c>
      <c r="B366">
        <v>40</v>
      </c>
      <c r="C366" t="s">
        <v>8</v>
      </c>
      <c r="D366" s="1">
        <v>45569</v>
      </c>
      <c r="E366" t="s">
        <v>9</v>
      </c>
      <c r="F366" t="s">
        <v>10</v>
      </c>
      <c r="G366" t="s">
        <v>20</v>
      </c>
      <c r="H366">
        <v>692.1</v>
      </c>
    </row>
    <row r="367" spans="1:8">
      <c r="A367">
        <v>366</v>
      </c>
      <c r="B367">
        <v>95</v>
      </c>
      <c r="C367" t="s">
        <v>12</v>
      </c>
      <c r="D367" s="1">
        <v>45386</v>
      </c>
      <c r="E367" t="s">
        <v>15</v>
      </c>
      <c r="F367" t="s">
        <v>18</v>
      </c>
      <c r="G367" t="s">
        <v>11</v>
      </c>
      <c r="H367">
        <v>378.29</v>
      </c>
    </row>
    <row r="368" spans="1:8">
      <c r="A368">
        <v>367</v>
      </c>
      <c r="B368">
        <v>21</v>
      </c>
      <c r="C368" t="s">
        <v>12</v>
      </c>
      <c r="D368" t="s">
        <v>105</v>
      </c>
      <c r="E368" t="s">
        <v>15</v>
      </c>
      <c r="F368" t="s">
        <v>21</v>
      </c>
      <c r="G368" t="s">
        <v>11</v>
      </c>
      <c r="H368">
        <v>584.9</v>
      </c>
    </row>
    <row r="369" spans="1:8">
      <c r="A369">
        <v>368</v>
      </c>
      <c r="B369">
        <v>35</v>
      </c>
      <c r="C369" t="s">
        <v>12</v>
      </c>
      <c r="D369" s="1">
        <v>45294</v>
      </c>
      <c r="E369" t="s">
        <v>15</v>
      </c>
      <c r="F369" t="s">
        <v>21</v>
      </c>
      <c r="G369" t="s">
        <v>11</v>
      </c>
      <c r="H369">
        <v>39.01</v>
      </c>
    </row>
    <row r="370" spans="1:8">
      <c r="A370">
        <v>369</v>
      </c>
      <c r="B370">
        <v>47</v>
      </c>
      <c r="C370" t="s">
        <v>12</v>
      </c>
      <c r="D370" t="s">
        <v>24</v>
      </c>
      <c r="E370" t="s">
        <v>15</v>
      </c>
      <c r="F370" t="s">
        <v>18</v>
      </c>
      <c r="G370" t="s">
        <v>11</v>
      </c>
      <c r="H370">
        <v>899.07</v>
      </c>
    </row>
    <row r="371" spans="1:8">
      <c r="A371">
        <v>370</v>
      </c>
      <c r="B371">
        <v>93</v>
      </c>
      <c r="C371" t="s">
        <v>8</v>
      </c>
      <c r="D371" t="s">
        <v>80</v>
      </c>
      <c r="E371" t="s">
        <v>15</v>
      </c>
      <c r="F371" t="s">
        <v>10</v>
      </c>
      <c r="G371" t="s">
        <v>11</v>
      </c>
      <c r="H371">
        <v>96.04</v>
      </c>
    </row>
    <row r="372" spans="1:8">
      <c r="A372">
        <v>371</v>
      </c>
      <c r="B372">
        <v>74</v>
      </c>
      <c r="C372" t="s">
        <v>8</v>
      </c>
      <c r="D372" s="1">
        <v>45323</v>
      </c>
      <c r="E372" t="s">
        <v>15</v>
      </c>
      <c r="F372" t="s">
        <v>21</v>
      </c>
      <c r="G372" t="s">
        <v>11</v>
      </c>
      <c r="H372">
        <v>269.99</v>
      </c>
    </row>
    <row r="373" spans="1:8">
      <c r="A373">
        <v>372</v>
      </c>
      <c r="B373">
        <v>76</v>
      </c>
      <c r="C373" t="s">
        <v>19</v>
      </c>
      <c r="D373" t="s">
        <v>30</v>
      </c>
      <c r="E373" t="s">
        <v>26</v>
      </c>
      <c r="F373" t="s">
        <v>10</v>
      </c>
      <c r="G373" t="s">
        <v>11</v>
      </c>
      <c r="H373">
        <v>996.49</v>
      </c>
    </row>
    <row r="374" spans="1:8">
      <c r="A374">
        <v>373</v>
      </c>
      <c r="B374">
        <v>92</v>
      </c>
      <c r="C374" t="s">
        <v>12</v>
      </c>
      <c r="D374" s="1">
        <v>45597</v>
      </c>
      <c r="E374" t="s">
        <v>26</v>
      </c>
      <c r="F374" t="s">
        <v>21</v>
      </c>
      <c r="G374" t="s">
        <v>20</v>
      </c>
      <c r="H374">
        <v>573.22</v>
      </c>
    </row>
    <row r="375" spans="1:8">
      <c r="A375">
        <v>374</v>
      </c>
      <c r="B375">
        <v>5</v>
      </c>
      <c r="C375" t="s">
        <v>8</v>
      </c>
      <c r="D375" t="s">
        <v>115</v>
      </c>
      <c r="E375" t="s">
        <v>15</v>
      </c>
      <c r="F375" t="s">
        <v>21</v>
      </c>
      <c r="G375" t="s">
        <v>11</v>
      </c>
      <c r="H375">
        <v>694.03</v>
      </c>
    </row>
    <row r="376" spans="1:8">
      <c r="A376">
        <v>375</v>
      </c>
      <c r="B376">
        <v>48</v>
      </c>
      <c r="C376" t="s">
        <v>12</v>
      </c>
      <c r="D376" s="1">
        <v>45570</v>
      </c>
      <c r="E376" t="s">
        <v>15</v>
      </c>
      <c r="F376" t="s">
        <v>10</v>
      </c>
      <c r="G376" t="s">
        <v>11</v>
      </c>
      <c r="H376">
        <v>963.03</v>
      </c>
    </row>
    <row r="377" spans="1:8">
      <c r="A377">
        <v>376</v>
      </c>
      <c r="B377">
        <v>54</v>
      </c>
      <c r="C377" t="s">
        <v>12</v>
      </c>
      <c r="D377" s="1">
        <v>45566</v>
      </c>
      <c r="E377" t="s">
        <v>9</v>
      </c>
      <c r="F377" t="s">
        <v>21</v>
      </c>
      <c r="G377" t="s">
        <v>20</v>
      </c>
      <c r="H377">
        <v>118.46</v>
      </c>
    </row>
    <row r="378" spans="1:8">
      <c r="A378">
        <v>377</v>
      </c>
      <c r="B378">
        <v>97</v>
      </c>
      <c r="C378" t="s">
        <v>8</v>
      </c>
      <c r="D378" t="s">
        <v>77</v>
      </c>
      <c r="E378" t="s">
        <v>9</v>
      </c>
      <c r="F378" t="s">
        <v>21</v>
      </c>
      <c r="G378" t="s">
        <v>16</v>
      </c>
      <c r="H378">
        <v>773.47</v>
      </c>
    </row>
    <row r="379" spans="1:8">
      <c r="A379">
        <v>378</v>
      </c>
      <c r="B379">
        <v>41</v>
      </c>
      <c r="C379" t="s">
        <v>8</v>
      </c>
      <c r="D379" s="1">
        <v>45632</v>
      </c>
      <c r="E379" t="s">
        <v>26</v>
      </c>
      <c r="F379" t="s">
        <v>10</v>
      </c>
      <c r="G379" t="s">
        <v>11</v>
      </c>
      <c r="H379">
        <v>180.86</v>
      </c>
    </row>
    <row r="380" spans="1:8">
      <c r="A380">
        <v>379</v>
      </c>
      <c r="B380">
        <v>34</v>
      </c>
      <c r="C380" t="s">
        <v>19</v>
      </c>
      <c r="D380" s="1">
        <v>45416</v>
      </c>
      <c r="E380" t="s">
        <v>26</v>
      </c>
      <c r="F380" t="s">
        <v>10</v>
      </c>
      <c r="G380" t="s">
        <v>20</v>
      </c>
      <c r="H380">
        <v>18.61</v>
      </c>
    </row>
    <row r="381" spans="1:8">
      <c r="A381">
        <v>380</v>
      </c>
      <c r="B381">
        <v>25</v>
      </c>
      <c r="C381" t="s">
        <v>19</v>
      </c>
      <c r="D381" s="1">
        <v>45569</v>
      </c>
      <c r="E381" t="s">
        <v>9</v>
      </c>
      <c r="F381" t="s">
        <v>18</v>
      </c>
      <c r="G381" t="s">
        <v>20</v>
      </c>
      <c r="H381">
        <v>176.96</v>
      </c>
    </row>
    <row r="382" spans="1:8">
      <c r="A382">
        <v>381</v>
      </c>
      <c r="B382">
        <v>27</v>
      </c>
      <c r="C382" t="s">
        <v>19</v>
      </c>
      <c r="D382" s="1">
        <v>45474</v>
      </c>
      <c r="E382" t="s">
        <v>26</v>
      </c>
      <c r="F382" t="s">
        <v>21</v>
      </c>
      <c r="G382" t="s">
        <v>11</v>
      </c>
      <c r="H382">
        <v>32.44</v>
      </c>
    </row>
    <row r="383" spans="1:8">
      <c r="A383">
        <v>382</v>
      </c>
      <c r="B383">
        <v>74</v>
      </c>
      <c r="C383" t="s">
        <v>19</v>
      </c>
      <c r="D383" s="1">
        <v>45628</v>
      </c>
      <c r="E383" t="s">
        <v>9</v>
      </c>
      <c r="F383" t="s">
        <v>10</v>
      </c>
      <c r="G383" t="s">
        <v>20</v>
      </c>
      <c r="H383">
        <v>351.27</v>
      </c>
    </row>
    <row r="384" spans="1:8">
      <c r="A384">
        <v>383</v>
      </c>
      <c r="B384">
        <v>51</v>
      </c>
      <c r="C384" t="s">
        <v>12</v>
      </c>
      <c r="D384" s="1">
        <v>45413</v>
      </c>
      <c r="E384" t="s">
        <v>9</v>
      </c>
      <c r="F384" t="s">
        <v>18</v>
      </c>
      <c r="G384" t="s">
        <v>11</v>
      </c>
      <c r="H384">
        <v>303.16000000000003</v>
      </c>
    </row>
    <row r="385" spans="1:8">
      <c r="A385">
        <v>384</v>
      </c>
      <c r="B385">
        <v>98</v>
      </c>
      <c r="C385" t="s">
        <v>19</v>
      </c>
      <c r="D385" s="1">
        <v>45417</v>
      </c>
      <c r="E385" t="s">
        <v>15</v>
      </c>
      <c r="F385" t="s">
        <v>18</v>
      </c>
      <c r="G385" t="s">
        <v>16</v>
      </c>
      <c r="H385">
        <v>404.15</v>
      </c>
    </row>
    <row r="386" spans="1:8">
      <c r="A386">
        <v>385</v>
      </c>
      <c r="B386">
        <v>83</v>
      </c>
      <c r="C386" t="s">
        <v>8</v>
      </c>
      <c r="D386" s="1">
        <v>45566</v>
      </c>
      <c r="E386" t="s">
        <v>15</v>
      </c>
      <c r="F386" t="s">
        <v>21</v>
      </c>
      <c r="G386" t="s">
        <v>16</v>
      </c>
      <c r="H386">
        <v>800.76</v>
      </c>
    </row>
    <row r="387" spans="1:8">
      <c r="A387">
        <v>386</v>
      </c>
      <c r="B387">
        <v>60</v>
      </c>
      <c r="C387" t="s">
        <v>8</v>
      </c>
      <c r="D387" t="s">
        <v>78</v>
      </c>
      <c r="E387" t="s">
        <v>26</v>
      </c>
      <c r="F387" t="s">
        <v>21</v>
      </c>
      <c r="G387" t="s">
        <v>11</v>
      </c>
      <c r="H387">
        <v>321.45</v>
      </c>
    </row>
    <row r="388" spans="1:8">
      <c r="A388">
        <v>387</v>
      </c>
      <c r="B388">
        <v>84</v>
      </c>
      <c r="C388" t="s">
        <v>12</v>
      </c>
      <c r="D388" t="s">
        <v>47</v>
      </c>
      <c r="E388" t="s">
        <v>26</v>
      </c>
      <c r="F388" t="s">
        <v>18</v>
      </c>
      <c r="G388" t="s">
        <v>20</v>
      </c>
      <c r="H388">
        <v>510.38</v>
      </c>
    </row>
    <row r="389" spans="1:8">
      <c r="A389">
        <v>388</v>
      </c>
      <c r="B389">
        <v>32</v>
      </c>
      <c r="C389" t="s">
        <v>8</v>
      </c>
      <c r="D389" t="s">
        <v>64</v>
      </c>
      <c r="E389" t="s">
        <v>15</v>
      </c>
      <c r="F389" t="s">
        <v>10</v>
      </c>
      <c r="G389" t="s">
        <v>16</v>
      </c>
      <c r="H389">
        <v>883.92</v>
      </c>
    </row>
    <row r="390" spans="1:8">
      <c r="A390">
        <v>389</v>
      </c>
      <c r="B390">
        <v>49</v>
      </c>
      <c r="C390" t="s">
        <v>8</v>
      </c>
      <c r="D390" t="s">
        <v>53</v>
      </c>
      <c r="E390" t="s">
        <v>15</v>
      </c>
      <c r="F390" t="s">
        <v>10</v>
      </c>
      <c r="G390" t="s">
        <v>16</v>
      </c>
      <c r="H390">
        <v>918.87</v>
      </c>
    </row>
    <row r="391" spans="1:8">
      <c r="A391">
        <v>390</v>
      </c>
      <c r="B391">
        <v>1</v>
      </c>
      <c r="C391" t="s">
        <v>8</v>
      </c>
      <c r="D391" t="s">
        <v>50</v>
      </c>
      <c r="E391" t="s">
        <v>26</v>
      </c>
      <c r="F391" t="s">
        <v>18</v>
      </c>
      <c r="G391" t="s">
        <v>16</v>
      </c>
      <c r="H391">
        <v>564.46</v>
      </c>
    </row>
    <row r="392" spans="1:8">
      <c r="A392">
        <v>391</v>
      </c>
      <c r="B392">
        <v>7</v>
      </c>
      <c r="C392" t="s">
        <v>12</v>
      </c>
      <c r="D392" s="1">
        <v>45357</v>
      </c>
      <c r="E392" t="s">
        <v>15</v>
      </c>
      <c r="F392" t="s">
        <v>10</v>
      </c>
      <c r="G392" t="s">
        <v>11</v>
      </c>
      <c r="H392">
        <v>889.4</v>
      </c>
    </row>
    <row r="393" spans="1:8">
      <c r="A393">
        <v>392</v>
      </c>
      <c r="B393">
        <v>81</v>
      </c>
      <c r="C393" t="s">
        <v>12</v>
      </c>
      <c r="D393" t="s">
        <v>27</v>
      </c>
      <c r="E393" t="s">
        <v>9</v>
      </c>
      <c r="F393" t="s">
        <v>18</v>
      </c>
      <c r="G393" t="s">
        <v>16</v>
      </c>
      <c r="H393">
        <v>197.87</v>
      </c>
    </row>
    <row r="394" spans="1:8">
      <c r="A394">
        <v>393</v>
      </c>
      <c r="B394">
        <v>24</v>
      </c>
      <c r="C394" t="s">
        <v>19</v>
      </c>
      <c r="D394" s="1">
        <v>45541</v>
      </c>
      <c r="E394" t="s">
        <v>26</v>
      </c>
      <c r="F394" t="s">
        <v>18</v>
      </c>
      <c r="G394" t="s">
        <v>11</v>
      </c>
      <c r="H394">
        <v>786.6</v>
      </c>
    </row>
    <row r="395" spans="1:8">
      <c r="A395">
        <v>394</v>
      </c>
      <c r="B395">
        <v>37</v>
      </c>
      <c r="C395" t="s">
        <v>12</v>
      </c>
      <c r="D395" s="1">
        <v>45387</v>
      </c>
      <c r="E395" t="s">
        <v>15</v>
      </c>
      <c r="F395" t="s">
        <v>21</v>
      </c>
      <c r="G395" t="s">
        <v>20</v>
      </c>
      <c r="H395">
        <v>740.36</v>
      </c>
    </row>
    <row r="396" spans="1:8">
      <c r="A396">
        <v>395</v>
      </c>
      <c r="B396">
        <v>81</v>
      </c>
      <c r="C396" t="s">
        <v>12</v>
      </c>
      <c r="D396" s="1">
        <v>45415</v>
      </c>
      <c r="E396" t="s">
        <v>26</v>
      </c>
      <c r="F396" t="s">
        <v>18</v>
      </c>
      <c r="G396" t="s">
        <v>16</v>
      </c>
      <c r="H396">
        <v>667.24</v>
      </c>
    </row>
    <row r="397" spans="1:8">
      <c r="A397">
        <v>396</v>
      </c>
      <c r="B397">
        <v>84</v>
      </c>
      <c r="C397" t="s">
        <v>19</v>
      </c>
      <c r="D397" s="1">
        <v>45536</v>
      </c>
      <c r="E397" t="s">
        <v>26</v>
      </c>
      <c r="F397" t="s">
        <v>18</v>
      </c>
      <c r="G397" t="s">
        <v>11</v>
      </c>
      <c r="H397">
        <v>77.72</v>
      </c>
    </row>
    <row r="398" spans="1:8">
      <c r="A398">
        <v>397</v>
      </c>
      <c r="B398">
        <v>79</v>
      </c>
      <c r="C398" t="s">
        <v>12</v>
      </c>
      <c r="D398" t="s">
        <v>53</v>
      </c>
      <c r="E398" t="s">
        <v>26</v>
      </c>
      <c r="F398" t="s">
        <v>21</v>
      </c>
      <c r="G398" t="s">
        <v>11</v>
      </c>
      <c r="H398">
        <v>106.59</v>
      </c>
    </row>
    <row r="399" spans="1:8">
      <c r="A399">
        <v>398</v>
      </c>
      <c r="B399">
        <v>3</v>
      </c>
      <c r="C399" t="s">
        <v>8</v>
      </c>
      <c r="D399" t="s">
        <v>116</v>
      </c>
      <c r="E399" t="s">
        <v>26</v>
      </c>
      <c r="F399" t="s">
        <v>10</v>
      </c>
      <c r="G399" t="s">
        <v>20</v>
      </c>
      <c r="H399">
        <v>529.16</v>
      </c>
    </row>
    <row r="400" spans="1:8">
      <c r="A400">
        <v>399</v>
      </c>
      <c r="B400">
        <v>50</v>
      </c>
      <c r="C400" t="s">
        <v>12</v>
      </c>
      <c r="D400" s="1">
        <v>45477</v>
      </c>
      <c r="E400" t="s">
        <v>26</v>
      </c>
      <c r="F400" t="s">
        <v>18</v>
      </c>
      <c r="G400" t="s">
        <v>20</v>
      </c>
      <c r="H400">
        <v>94.34</v>
      </c>
    </row>
    <row r="401" spans="1:8">
      <c r="A401">
        <v>400</v>
      </c>
      <c r="B401">
        <v>44</v>
      </c>
      <c r="C401" t="s">
        <v>19</v>
      </c>
      <c r="D401" s="1">
        <v>45630</v>
      </c>
      <c r="E401" t="s">
        <v>9</v>
      </c>
      <c r="F401" t="s">
        <v>21</v>
      </c>
      <c r="G401" t="s">
        <v>20</v>
      </c>
      <c r="H401">
        <v>97.53</v>
      </c>
    </row>
    <row r="402" spans="1:8">
      <c r="A402">
        <v>401</v>
      </c>
      <c r="B402">
        <v>34</v>
      </c>
      <c r="C402" t="s">
        <v>12</v>
      </c>
      <c r="D402" t="s">
        <v>74</v>
      </c>
      <c r="E402" t="s">
        <v>15</v>
      </c>
      <c r="F402" t="s">
        <v>18</v>
      </c>
      <c r="G402" t="s">
        <v>16</v>
      </c>
      <c r="H402">
        <v>500.88</v>
      </c>
    </row>
    <row r="403" spans="1:8">
      <c r="A403">
        <v>402</v>
      </c>
      <c r="B403">
        <v>41</v>
      </c>
      <c r="C403" t="s">
        <v>12</v>
      </c>
      <c r="D403" t="s">
        <v>33</v>
      </c>
      <c r="E403" t="s">
        <v>15</v>
      </c>
      <c r="F403" t="s">
        <v>10</v>
      </c>
      <c r="G403" t="s">
        <v>20</v>
      </c>
      <c r="H403">
        <v>477.42</v>
      </c>
    </row>
    <row r="404" spans="1:8">
      <c r="A404">
        <v>403</v>
      </c>
      <c r="B404">
        <v>6</v>
      </c>
      <c r="C404" t="s">
        <v>19</v>
      </c>
      <c r="D404" s="1">
        <v>45540</v>
      </c>
      <c r="E404" t="s">
        <v>26</v>
      </c>
      <c r="F404" t="s">
        <v>10</v>
      </c>
      <c r="G404" t="s">
        <v>20</v>
      </c>
      <c r="H404">
        <v>810.57</v>
      </c>
    </row>
    <row r="405" spans="1:8">
      <c r="A405">
        <v>404</v>
      </c>
      <c r="B405">
        <v>47</v>
      </c>
      <c r="C405" t="s">
        <v>8</v>
      </c>
      <c r="D405" s="1">
        <v>45296</v>
      </c>
      <c r="E405" t="s">
        <v>26</v>
      </c>
      <c r="F405" t="s">
        <v>10</v>
      </c>
      <c r="G405" t="s">
        <v>16</v>
      </c>
      <c r="H405">
        <v>945.16</v>
      </c>
    </row>
    <row r="406" spans="1:8">
      <c r="A406">
        <v>405</v>
      </c>
      <c r="B406">
        <v>4</v>
      </c>
      <c r="C406" t="s">
        <v>12</v>
      </c>
      <c r="D406" t="s">
        <v>96</v>
      </c>
      <c r="E406" t="s">
        <v>15</v>
      </c>
      <c r="F406" t="s">
        <v>10</v>
      </c>
      <c r="G406" t="s">
        <v>11</v>
      </c>
      <c r="H406">
        <v>325.31</v>
      </c>
    </row>
    <row r="407" spans="1:8">
      <c r="A407">
        <v>406</v>
      </c>
      <c r="B407">
        <v>39</v>
      </c>
      <c r="C407" t="s">
        <v>12</v>
      </c>
      <c r="D407" s="1">
        <v>45600</v>
      </c>
      <c r="E407" t="s">
        <v>9</v>
      </c>
      <c r="F407" t="s">
        <v>21</v>
      </c>
      <c r="G407" t="s">
        <v>11</v>
      </c>
      <c r="H407">
        <v>810.44</v>
      </c>
    </row>
    <row r="408" spans="1:8">
      <c r="A408">
        <v>407</v>
      </c>
      <c r="B408">
        <v>10</v>
      </c>
      <c r="C408" t="s">
        <v>12</v>
      </c>
      <c r="D408" t="s">
        <v>108</v>
      </c>
      <c r="E408" t="s">
        <v>15</v>
      </c>
      <c r="F408" t="s">
        <v>18</v>
      </c>
      <c r="G408" t="s">
        <v>11</v>
      </c>
      <c r="H408">
        <v>623.76</v>
      </c>
    </row>
    <row r="409" spans="1:8">
      <c r="A409">
        <v>408</v>
      </c>
      <c r="B409">
        <v>45</v>
      </c>
      <c r="C409" t="s">
        <v>8</v>
      </c>
      <c r="D409" t="s">
        <v>60</v>
      </c>
      <c r="E409" t="s">
        <v>15</v>
      </c>
      <c r="F409" t="s">
        <v>10</v>
      </c>
      <c r="G409" t="s">
        <v>11</v>
      </c>
      <c r="H409">
        <v>375.28</v>
      </c>
    </row>
    <row r="410" spans="1:8">
      <c r="A410">
        <v>409</v>
      </c>
      <c r="B410">
        <v>46</v>
      </c>
      <c r="C410" t="s">
        <v>12</v>
      </c>
      <c r="D410" s="1">
        <v>45415</v>
      </c>
      <c r="E410" t="s">
        <v>26</v>
      </c>
      <c r="F410" t="s">
        <v>10</v>
      </c>
      <c r="G410" t="s">
        <v>16</v>
      </c>
      <c r="H410">
        <v>474.48</v>
      </c>
    </row>
    <row r="411" spans="1:8">
      <c r="A411">
        <v>410</v>
      </c>
      <c r="B411">
        <v>5</v>
      </c>
      <c r="C411" t="s">
        <v>19</v>
      </c>
      <c r="D411" t="s">
        <v>114</v>
      </c>
      <c r="E411" t="s">
        <v>26</v>
      </c>
      <c r="F411" t="s">
        <v>21</v>
      </c>
      <c r="G411" t="s">
        <v>11</v>
      </c>
      <c r="H411">
        <v>636.39</v>
      </c>
    </row>
    <row r="412" spans="1:8">
      <c r="A412">
        <v>411</v>
      </c>
      <c r="B412">
        <v>86</v>
      </c>
      <c r="C412" t="s">
        <v>12</v>
      </c>
      <c r="D412" t="s">
        <v>117</v>
      </c>
      <c r="E412" t="s">
        <v>9</v>
      </c>
      <c r="F412" t="s">
        <v>10</v>
      </c>
      <c r="G412" t="s">
        <v>11</v>
      </c>
      <c r="H412">
        <v>957.36</v>
      </c>
    </row>
    <row r="413" spans="1:8">
      <c r="A413">
        <v>412</v>
      </c>
      <c r="B413">
        <v>97</v>
      </c>
      <c r="C413" t="s">
        <v>12</v>
      </c>
      <c r="D413" s="1">
        <v>45324</v>
      </c>
      <c r="E413" t="s">
        <v>15</v>
      </c>
      <c r="F413" t="s">
        <v>10</v>
      </c>
      <c r="G413" t="s">
        <v>16</v>
      </c>
      <c r="H413">
        <v>66.98</v>
      </c>
    </row>
    <row r="414" spans="1:8">
      <c r="A414">
        <v>413</v>
      </c>
      <c r="B414">
        <v>20</v>
      </c>
      <c r="C414" t="s">
        <v>8</v>
      </c>
      <c r="D414" s="1">
        <v>45416</v>
      </c>
      <c r="E414" t="s">
        <v>15</v>
      </c>
      <c r="F414" t="s">
        <v>10</v>
      </c>
      <c r="G414" t="s">
        <v>11</v>
      </c>
      <c r="H414">
        <v>608.64</v>
      </c>
    </row>
    <row r="415" spans="1:8">
      <c r="A415">
        <v>414</v>
      </c>
      <c r="B415">
        <v>36</v>
      </c>
      <c r="C415" t="s">
        <v>8</v>
      </c>
      <c r="D415" s="1">
        <v>45384</v>
      </c>
      <c r="E415" t="s">
        <v>9</v>
      </c>
      <c r="F415" t="s">
        <v>21</v>
      </c>
      <c r="G415" t="s">
        <v>16</v>
      </c>
      <c r="H415">
        <v>75.930000000000007</v>
      </c>
    </row>
    <row r="416" spans="1:8">
      <c r="A416">
        <v>415</v>
      </c>
      <c r="B416">
        <v>7</v>
      </c>
      <c r="C416" t="s">
        <v>8</v>
      </c>
      <c r="D416" s="1">
        <v>45632</v>
      </c>
      <c r="E416" t="s">
        <v>9</v>
      </c>
      <c r="F416" t="s">
        <v>18</v>
      </c>
      <c r="G416" t="s">
        <v>16</v>
      </c>
      <c r="H416">
        <v>477.58</v>
      </c>
    </row>
    <row r="417" spans="1:8">
      <c r="A417">
        <v>416</v>
      </c>
      <c r="B417">
        <v>53</v>
      </c>
      <c r="C417" t="s">
        <v>19</v>
      </c>
      <c r="D417" t="s">
        <v>82</v>
      </c>
      <c r="E417" t="s">
        <v>9</v>
      </c>
      <c r="F417" t="s">
        <v>21</v>
      </c>
      <c r="G417" t="s">
        <v>16</v>
      </c>
      <c r="H417">
        <v>252.11</v>
      </c>
    </row>
    <row r="418" spans="1:8">
      <c r="A418">
        <v>417</v>
      </c>
      <c r="B418">
        <v>37</v>
      </c>
      <c r="C418" t="s">
        <v>19</v>
      </c>
      <c r="D418" t="s">
        <v>53</v>
      </c>
      <c r="E418" t="s">
        <v>9</v>
      </c>
      <c r="F418" t="s">
        <v>18</v>
      </c>
      <c r="G418" t="s">
        <v>11</v>
      </c>
      <c r="H418">
        <v>987.71</v>
      </c>
    </row>
    <row r="419" spans="1:8">
      <c r="A419">
        <v>418</v>
      </c>
      <c r="B419">
        <v>81</v>
      </c>
      <c r="C419" t="s">
        <v>12</v>
      </c>
      <c r="D419" t="s">
        <v>44</v>
      </c>
      <c r="E419" t="s">
        <v>15</v>
      </c>
      <c r="F419" t="s">
        <v>21</v>
      </c>
      <c r="G419" t="s">
        <v>20</v>
      </c>
      <c r="H419">
        <v>464.04</v>
      </c>
    </row>
    <row r="420" spans="1:8">
      <c r="A420">
        <v>419</v>
      </c>
      <c r="B420">
        <v>61</v>
      </c>
      <c r="C420" t="s">
        <v>12</v>
      </c>
      <c r="D420" t="s">
        <v>107</v>
      </c>
      <c r="E420" t="s">
        <v>9</v>
      </c>
      <c r="F420" t="s">
        <v>10</v>
      </c>
      <c r="G420" t="s">
        <v>11</v>
      </c>
      <c r="H420">
        <v>694.29</v>
      </c>
    </row>
    <row r="421" spans="1:8">
      <c r="A421">
        <v>420</v>
      </c>
      <c r="B421">
        <v>56</v>
      </c>
      <c r="C421" t="s">
        <v>8</v>
      </c>
      <c r="D421" t="s">
        <v>84</v>
      </c>
      <c r="E421" t="s">
        <v>26</v>
      </c>
      <c r="F421" t="s">
        <v>18</v>
      </c>
      <c r="G421" t="s">
        <v>16</v>
      </c>
      <c r="H421">
        <v>829.49</v>
      </c>
    </row>
    <row r="422" spans="1:8">
      <c r="A422">
        <v>421</v>
      </c>
      <c r="B422">
        <v>79</v>
      </c>
      <c r="C422" t="s">
        <v>12</v>
      </c>
      <c r="D422" s="1">
        <v>45536</v>
      </c>
      <c r="E422" t="s">
        <v>15</v>
      </c>
      <c r="F422" t="s">
        <v>10</v>
      </c>
      <c r="G422" t="s">
        <v>11</v>
      </c>
      <c r="H422">
        <v>466.04</v>
      </c>
    </row>
    <row r="423" spans="1:8">
      <c r="A423">
        <v>422</v>
      </c>
      <c r="B423">
        <v>12</v>
      </c>
      <c r="C423" t="s">
        <v>12</v>
      </c>
      <c r="D423" s="1">
        <v>45600</v>
      </c>
      <c r="E423" t="s">
        <v>15</v>
      </c>
      <c r="F423" t="s">
        <v>21</v>
      </c>
      <c r="G423" t="s">
        <v>20</v>
      </c>
      <c r="H423">
        <v>101.05</v>
      </c>
    </row>
    <row r="424" spans="1:8">
      <c r="A424">
        <v>423</v>
      </c>
      <c r="B424">
        <v>66</v>
      </c>
      <c r="C424" t="s">
        <v>19</v>
      </c>
      <c r="D424" s="1">
        <v>45383</v>
      </c>
      <c r="E424" t="s">
        <v>15</v>
      </c>
      <c r="F424" t="s">
        <v>18</v>
      </c>
      <c r="G424" t="s">
        <v>16</v>
      </c>
      <c r="H424">
        <v>748.29</v>
      </c>
    </row>
    <row r="425" spans="1:8">
      <c r="A425">
        <v>424</v>
      </c>
      <c r="B425">
        <v>27</v>
      </c>
      <c r="C425" t="s">
        <v>8</v>
      </c>
      <c r="D425" t="s">
        <v>58</v>
      </c>
      <c r="E425" t="s">
        <v>9</v>
      </c>
      <c r="F425" t="s">
        <v>21</v>
      </c>
      <c r="G425" t="s">
        <v>11</v>
      </c>
      <c r="H425">
        <v>438.54</v>
      </c>
    </row>
    <row r="426" spans="1:8">
      <c r="A426">
        <v>425</v>
      </c>
      <c r="B426">
        <v>88</v>
      </c>
      <c r="C426" t="s">
        <v>12</v>
      </c>
      <c r="D426" t="s">
        <v>27</v>
      </c>
      <c r="E426" t="s">
        <v>9</v>
      </c>
      <c r="F426" t="s">
        <v>21</v>
      </c>
      <c r="G426" t="s">
        <v>11</v>
      </c>
      <c r="H426">
        <v>834.57</v>
      </c>
    </row>
    <row r="427" spans="1:8">
      <c r="A427">
        <v>426</v>
      </c>
      <c r="B427">
        <v>62</v>
      </c>
      <c r="C427" t="s">
        <v>12</v>
      </c>
      <c r="D427" t="s">
        <v>22</v>
      </c>
      <c r="E427" t="s">
        <v>15</v>
      </c>
      <c r="F427" t="s">
        <v>18</v>
      </c>
      <c r="G427" t="s">
        <v>20</v>
      </c>
      <c r="H427">
        <v>655.02</v>
      </c>
    </row>
    <row r="428" spans="1:8">
      <c r="A428">
        <v>427</v>
      </c>
      <c r="B428">
        <v>10</v>
      </c>
      <c r="C428" t="s">
        <v>8</v>
      </c>
      <c r="D428" t="s">
        <v>79</v>
      </c>
      <c r="E428" t="s">
        <v>26</v>
      </c>
      <c r="F428" t="s">
        <v>18</v>
      </c>
      <c r="G428" t="s">
        <v>20</v>
      </c>
      <c r="H428">
        <v>342.61</v>
      </c>
    </row>
    <row r="429" spans="1:8">
      <c r="A429">
        <v>428</v>
      </c>
      <c r="B429">
        <v>61</v>
      </c>
      <c r="C429" t="s">
        <v>8</v>
      </c>
      <c r="D429" t="s">
        <v>118</v>
      </c>
      <c r="E429" t="s">
        <v>15</v>
      </c>
      <c r="F429" t="s">
        <v>18</v>
      </c>
      <c r="G429" t="s">
        <v>11</v>
      </c>
      <c r="H429">
        <v>539.5</v>
      </c>
    </row>
    <row r="430" spans="1:8">
      <c r="A430">
        <v>429</v>
      </c>
      <c r="B430">
        <v>15</v>
      </c>
      <c r="C430" t="s">
        <v>12</v>
      </c>
      <c r="D430" t="s">
        <v>41</v>
      </c>
      <c r="E430" t="s">
        <v>9</v>
      </c>
      <c r="F430" t="s">
        <v>21</v>
      </c>
      <c r="G430" t="s">
        <v>11</v>
      </c>
      <c r="H430">
        <v>487.41</v>
      </c>
    </row>
    <row r="431" spans="1:8">
      <c r="A431">
        <v>430</v>
      </c>
      <c r="B431">
        <v>72</v>
      </c>
      <c r="C431" t="s">
        <v>8</v>
      </c>
      <c r="D431" t="s">
        <v>119</v>
      </c>
      <c r="E431" t="s">
        <v>26</v>
      </c>
      <c r="F431" t="s">
        <v>10</v>
      </c>
      <c r="G431" t="s">
        <v>16</v>
      </c>
      <c r="H431">
        <v>212.86</v>
      </c>
    </row>
    <row r="432" spans="1:8">
      <c r="A432">
        <v>431</v>
      </c>
      <c r="B432">
        <v>77</v>
      </c>
      <c r="C432" t="s">
        <v>12</v>
      </c>
      <c r="D432" t="s">
        <v>120</v>
      </c>
      <c r="E432" t="s">
        <v>26</v>
      </c>
      <c r="F432" t="s">
        <v>18</v>
      </c>
      <c r="G432" t="s">
        <v>11</v>
      </c>
      <c r="H432">
        <v>873.59</v>
      </c>
    </row>
    <row r="433" spans="1:8">
      <c r="A433">
        <v>432</v>
      </c>
      <c r="B433">
        <v>56</v>
      </c>
      <c r="C433" t="s">
        <v>19</v>
      </c>
      <c r="D433" t="s">
        <v>27</v>
      </c>
      <c r="E433" t="s">
        <v>26</v>
      </c>
      <c r="F433" t="s">
        <v>21</v>
      </c>
      <c r="G433" t="s">
        <v>16</v>
      </c>
      <c r="H433">
        <v>389.21</v>
      </c>
    </row>
    <row r="434" spans="1:8">
      <c r="A434">
        <v>433</v>
      </c>
      <c r="B434">
        <v>18</v>
      </c>
      <c r="C434" t="s">
        <v>19</v>
      </c>
      <c r="D434" s="1">
        <v>45356</v>
      </c>
      <c r="E434" t="s">
        <v>9</v>
      </c>
      <c r="F434" t="s">
        <v>10</v>
      </c>
      <c r="G434" t="s">
        <v>16</v>
      </c>
      <c r="H434">
        <v>34.479999999999997</v>
      </c>
    </row>
    <row r="435" spans="1:8">
      <c r="A435">
        <v>434</v>
      </c>
      <c r="B435">
        <v>42</v>
      </c>
      <c r="C435" t="s">
        <v>12</v>
      </c>
      <c r="D435" s="1">
        <v>45631</v>
      </c>
      <c r="E435" t="s">
        <v>26</v>
      </c>
      <c r="F435" t="s">
        <v>10</v>
      </c>
      <c r="G435" t="s">
        <v>20</v>
      </c>
      <c r="H435">
        <v>235.97</v>
      </c>
    </row>
    <row r="436" spans="1:8">
      <c r="A436">
        <v>435</v>
      </c>
      <c r="B436">
        <v>41</v>
      </c>
      <c r="C436" t="s">
        <v>8</v>
      </c>
      <c r="D436" s="1">
        <v>45508</v>
      </c>
      <c r="E436" t="s">
        <v>26</v>
      </c>
      <c r="F436" t="s">
        <v>21</v>
      </c>
      <c r="G436" t="s">
        <v>11</v>
      </c>
      <c r="H436">
        <v>575.15</v>
      </c>
    </row>
    <row r="437" spans="1:8">
      <c r="A437">
        <v>436</v>
      </c>
      <c r="B437">
        <v>44</v>
      </c>
      <c r="C437" t="s">
        <v>8</v>
      </c>
      <c r="D437" t="s">
        <v>76</v>
      </c>
      <c r="E437" t="s">
        <v>26</v>
      </c>
      <c r="F437" t="s">
        <v>10</v>
      </c>
      <c r="G437" t="s">
        <v>11</v>
      </c>
      <c r="H437">
        <v>182.54</v>
      </c>
    </row>
    <row r="438" spans="1:8">
      <c r="A438">
        <v>437</v>
      </c>
      <c r="B438">
        <v>82</v>
      </c>
      <c r="C438" t="s">
        <v>19</v>
      </c>
      <c r="D438" s="1">
        <v>45448</v>
      </c>
      <c r="E438" t="s">
        <v>9</v>
      </c>
      <c r="F438" t="s">
        <v>10</v>
      </c>
      <c r="G438" t="s">
        <v>16</v>
      </c>
      <c r="H438">
        <v>752.8</v>
      </c>
    </row>
    <row r="439" spans="1:8">
      <c r="A439">
        <v>438</v>
      </c>
      <c r="B439">
        <v>39</v>
      </c>
      <c r="C439" t="s">
        <v>12</v>
      </c>
      <c r="D439" s="1">
        <v>45627</v>
      </c>
      <c r="E439" t="s">
        <v>9</v>
      </c>
      <c r="F439" t="s">
        <v>18</v>
      </c>
      <c r="G439" t="s">
        <v>11</v>
      </c>
      <c r="H439">
        <v>214.33</v>
      </c>
    </row>
    <row r="440" spans="1:8">
      <c r="A440">
        <v>439</v>
      </c>
      <c r="B440">
        <v>63</v>
      </c>
      <c r="C440" t="s">
        <v>12</v>
      </c>
      <c r="D440" t="s">
        <v>114</v>
      </c>
      <c r="E440" t="s">
        <v>26</v>
      </c>
      <c r="F440" t="s">
        <v>21</v>
      </c>
      <c r="G440" t="s">
        <v>11</v>
      </c>
      <c r="H440">
        <v>716.26</v>
      </c>
    </row>
    <row r="441" spans="1:8">
      <c r="A441">
        <v>440</v>
      </c>
      <c r="B441">
        <v>78</v>
      </c>
      <c r="C441" t="s">
        <v>8</v>
      </c>
      <c r="D441" s="1">
        <v>45354</v>
      </c>
      <c r="E441" t="s">
        <v>26</v>
      </c>
      <c r="F441" t="s">
        <v>18</v>
      </c>
      <c r="G441" t="s">
        <v>11</v>
      </c>
      <c r="H441">
        <v>608.46</v>
      </c>
    </row>
    <row r="442" spans="1:8">
      <c r="A442">
        <v>441</v>
      </c>
      <c r="B442">
        <v>92</v>
      </c>
      <c r="C442" t="s">
        <v>8</v>
      </c>
      <c r="D442" t="s">
        <v>76</v>
      </c>
      <c r="E442" t="s">
        <v>15</v>
      </c>
      <c r="F442" t="s">
        <v>21</v>
      </c>
      <c r="G442" t="s">
        <v>16</v>
      </c>
      <c r="H442">
        <v>255.47</v>
      </c>
    </row>
    <row r="443" spans="1:8">
      <c r="A443">
        <v>442</v>
      </c>
      <c r="B443">
        <v>92</v>
      </c>
      <c r="C443" t="s">
        <v>8</v>
      </c>
      <c r="D443" s="1">
        <v>45445</v>
      </c>
      <c r="E443" t="s">
        <v>9</v>
      </c>
      <c r="F443" t="s">
        <v>10</v>
      </c>
      <c r="G443" t="s">
        <v>20</v>
      </c>
      <c r="H443">
        <v>914.32</v>
      </c>
    </row>
    <row r="444" spans="1:8">
      <c r="A444">
        <v>443</v>
      </c>
      <c r="B444">
        <v>16</v>
      </c>
      <c r="C444" t="s">
        <v>19</v>
      </c>
      <c r="D444" t="s">
        <v>42</v>
      </c>
      <c r="E444" t="s">
        <v>15</v>
      </c>
      <c r="F444" t="s">
        <v>18</v>
      </c>
      <c r="G444" t="s">
        <v>16</v>
      </c>
      <c r="H444">
        <v>519.15</v>
      </c>
    </row>
    <row r="445" spans="1:8">
      <c r="A445">
        <v>444</v>
      </c>
      <c r="B445">
        <v>63</v>
      </c>
      <c r="C445" t="s">
        <v>12</v>
      </c>
      <c r="D445" s="1">
        <v>45506</v>
      </c>
      <c r="E445" t="s">
        <v>15</v>
      </c>
      <c r="F445" t="s">
        <v>21</v>
      </c>
      <c r="G445" t="s">
        <v>20</v>
      </c>
      <c r="H445">
        <v>816.09</v>
      </c>
    </row>
    <row r="446" spans="1:8">
      <c r="A446">
        <v>445</v>
      </c>
      <c r="B446">
        <v>65</v>
      </c>
      <c r="C446" t="s">
        <v>12</v>
      </c>
      <c r="D446" t="s">
        <v>44</v>
      </c>
      <c r="E446" t="s">
        <v>9</v>
      </c>
      <c r="F446" t="s">
        <v>10</v>
      </c>
      <c r="G446" t="s">
        <v>20</v>
      </c>
      <c r="H446">
        <v>481.11</v>
      </c>
    </row>
    <row r="447" spans="1:8">
      <c r="A447">
        <v>446</v>
      </c>
      <c r="B447">
        <v>60</v>
      </c>
      <c r="C447" t="s">
        <v>19</v>
      </c>
      <c r="D447" t="s">
        <v>29</v>
      </c>
      <c r="E447" t="s">
        <v>9</v>
      </c>
      <c r="F447" t="s">
        <v>21</v>
      </c>
      <c r="G447" t="s">
        <v>16</v>
      </c>
      <c r="H447">
        <v>780.05</v>
      </c>
    </row>
    <row r="448" spans="1:8">
      <c r="A448">
        <v>447</v>
      </c>
      <c r="B448">
        <v>58</v>
      </c>
      <c r="C448" t="s">
        <v>8</v>
      </c>
      <c r="D448" s="1">
        <v>45536</v>
      </c>
      <c r="E448" t="s">
        <v>15</v>
      </c>
      <c r="F448" t="s">
        <v>10</v>
      </c>
      <c r="G448" t="s">
        <v>16</v>
      </c>
      <c r="H448">
        <v>750.51</v>
      </c>
    </row>
    <row r="449" spans="1:8">
      <c r="A449">
        <v>448</v>
      </c>
      <c r="B449">
        <v>69</v>
      </c>
      <c r="C449" t="s">
        <v>12</v>
      </c>
      <c r="D449" s="1">
        <v>45570</v>
      </c>
      <c r="E449" t="s">
        <v>9</v>
      </c>
      <c r="F449" t="s">
        <v>21</v>
      </c>
      <c r="G449" t="s">
        <v>20</v>
      </c>
      <c r="H449">
        <v>908.59</v>
      </c>
    </row>
    <row r="450" spans="1:8">
      <c r="A450">
        <v>449</v>
      </c>
      <c r="B450">
        <v>7</v>
      </c>
      <c r="C450" t="s">
        <v>12</v>
      </c>
      <c r="D450" s="1">
        <v>45568</v>
      </c>
      <c r="E450" t="s">
        <v>9</v>
      </c>
      <c r="F450" t="s">
        <v>21</v>
      </c>
      <c r="G450" t="s">
        <v>11</v>
      </c>
      <c r="H450">
        <v>705.47</v>
      </c>
    </row>
    <row r="451" spans="1:8">
      <c r="A451">
        <v>450</v>
      </c>
      <c r="B451">
        <v>80</v>
      </c>
      <c r="C451" t="s">
        <v>12</v>
      </c>
      <c r="D451" t="s">
        <v>71</v>
      </c>
      <c r="E451" t="s">
        <v>15</v>
      </c>
      <c r="F451" t="s">
        <v>10</v>
      </c>
      <c r="G451" t="s">
        <v>16</v>
      </c>
      <c r="H451">
        <v>406.28</v>
      </c>
    </row>
    <row r="452" spans="1:8">
      <c r="A452">
        <v>451</v>
      </c>
      <c r="B452">
        <v>55</v>
      </c>
      <c r="C452" t="s">
        <v>12</v>
      </c>
      <c r="D452" s="1">
        <v>45323</v>
      </c>
      <c r="E452" t="s">
        <v>15</v>
      </c>
      <c r="F452" t="s">
        <v>18</v>
      </c>
      <c r="G452" t="s">
        <v>20</v>
      </c>
      <c r="H452">
        <v>295.41000000000003</v>
      </c>
    </row>
    <row r="453" spans="1:8">
      <c r="A453">
        <v>452</v>
      </c>
      <c r="B453">
        <v>6</v>
      </c>
      <c r="C453" t="s">
        <v>8</v>
      </c>
      <c r="D453" s="1">
        <v>45385</v>
      </c>
      <c r="E453" t="s">
        <v>15</v>
      </c>
      <c r="F453" t="s">
        <v>18</v>
      </c>
      <c r="G453" t="s">
        <v>11</v>
      </c>
      <c r="H453">
        <v>903.36</v>
      </c>
    </row>
    <row r="454" spans="1:8">
      <c r="A454">
        <v>453</v>
      </c>
      <c r="B454">
        <v>86</v>
      </c>
      <c r="C454" t="s">
        <v>8</v>
      </c>
      <c r="D454" t="s">
        <v>82</v>
      </c>
      <c r="E454" t="s">
        <v>9</v>
      </c>
      <c r="F454" t="s">
        <v>21</v>
      </c>
      <c r="G454" t="s">
        <v>20</v>
      </c>
      <c r="H454">
        <v>803.65</v>
      </c>
    </row>
    <row r="455" spans="1:8">
      <c r="A455">
        <v>454</v>
      </c>
      <c r="B455">
        <v>70</v>
      </c>
      <c r="C455" t="s">
        <v>12</v>
      </c>
      <c r="D455" t="s">
        <v>100</v>
      </c>
      <c r="E455" t="s">
        <v>9</v>
      </c>
      <c r="F455" t="s">
        <v>21</v>
      </c>
      <c r="G455" t="s">
        <v>16</v>
      </c>
      <c r="H455">
        <v>359.69</v>
      </c>
    </row>
    <row r="456" spans="1:8">
      <c r="A456">
        <v>455</v>
      </c>
      <c r="B456">
        <v>50</v>
      </c>
      <c r="C456" t="s">
        <v>8</v>
      </c>
      <c r="D456" t="s">
        <v>100</v>
      </c>
      <c r="E456" t="s">
        <v>9</v>
      </c>
      <c r="F456" t="s">
        <v>21</v>
      </c>
      <c r="G456" t="s">
        <v>20</v>
      </c>
      <c r="H456">
        <v>699.69</v>
      </c>
    </row>
    <row r="457" spans="1:8">
      <c r="A457">
        <v>456</v>
      </c>
      <c r="B457">
        <v>20</v>
      </c>
      <c r="C457" t="s">
        <v>8</v>
      </c>
      <c r="D457" s="1">
        <v>45416</v>
      </c>
      <c r="E457" t="s">
        <v>26</v>
      </c>
      <c r="F457" t="s">
        <v>18</v>
      </c>
      <c r="G457" t="s">
        <v>20</v>
      </c>
      <c r="H457">
        <v>281.81</v>
      </c>
    </row>
    <row r="458" spans="1:8">
      <c r="A458">
        <v>457</v>
      </c>
      <c r="B458">
        <v>63</v>
      </c>
      <c r="C458" t="s">
        <v>8</v>
      </c>
      <c r="D458" s="1">
        <v>45600</v>
      </c>
      <c r="E458" t="s">
        <v>26</v>
      </c>
      <c r="F458" t="s">
        <v>10</v>
      </c>
      <c r="G458" t="s">
        <v>16</v>
      </c>
      <c r="H458">
        <v>896.04</v>
      </c>
    </row>
    <row r="459" spans="1:8">
      <c r="A459">
        <v>458</v>
      </c>
      <c r="B459">
        <v>66</v>
      </c>
      <c r="C459" t="s">
        <v>12</v>
      </c>
      <c r="D459" t="s">
        <v>71</v>
      </c>
      <c r="E459" t="s">
        <v>15</v>
      </c>
      <c r="F459" t="s">
        <v>21</v>
      </c>
      <c r="G459" t="s">
        <v>11</v>
      </c>
      <c r="H459">
        <v>587.69000000000005</v>
      </c>
    </row>
    <row r="460" spans="1:8">
      <c r="A460">
        <v>459</v>
      </c>
      <c r="B460">
        <v>64</v>
      </c>
      <c r="C460" t="s">
        <v>12</v>
      </c>
      <c r="D460" t="s">
        <v>121</v>
      </c>
      <c r="E460" t="s">
        <v>9</v>
      </c>
      <c r="F460" t="s">
        <v>21</v>
      </c>
      <c r="G460" t="s">
        <v>16</v>
      </c>
      <c r="H460">
        <v>623.52</v>
      </c>
    </row>
    <row r="461" spans="1:8">
      <c r="A461">
        <v>460</v>
      </c>
      <c r="B461">
        <v>66</v>
      </c>
      <c r="C461" t="s">
        <v>8</v>
      </c>
      <c r="D461" s="1">
        <v>45602</v>
      </c>
      <c r="E461" t="s">
        <v>9</v>
      </c>
      <c r="F461" t="s">
        <v>10</v>
      </c>
      <c r="G461" t="s">
        <v>11</v>
      </c>
      <c r="H461">
        <v>668.05</v>
      </c>
    </row>
    <row r="462" spans="1:8">
      <c r="A462">
        <v>461</v>
      </c>
      <c r="B462">
        <v>95</v>
      </c>
      <c r="C462" t="s">
        <v>12</v>
      </c>
      <c r="D462" s="1">
        <v>45325</v>
      </c>
      <c r="E462" t="s">
        <v>15</v>
      </c>
      <c r="F462" t="s">
        <v>10</v>
      </c>
      <c r="G462" t="s">
        <v>11</v>
      </c>
      <c r="H462">
        <v>571.02</v>
      </c>
    </row>
    <row r="463" spans="1:8">
      <c r="A463">
        <v>462</v>
      </c>
      <c r="B463">
        <v>56</v>
      </c>
      <c r="C463" t="s">
        <v>8</v>
      </c>
      <c r="D463" t="s">
        <v>52</v>
      </c>
      <c r="E463" t="s">
        <v>15</v>
      </c>
      <c r="F463" t="s">
        <v>10</v>
      </c>
      <c r="G463" t="s">
        <v>20</v>
      </c>
      <c r="H463">
        <v>918.39</v>
      </c>
    </row>
    <row r="464" spans="1:8">
      <c r="A464">
        <v>463</v>
      </c>
      <c r="B464">
        <v>75</v>
      </c>
      <c r="C464" t="s">
        <v>12</v>
      </c>
      <c r="D464" t="s">
        <v>55</v>
      </c>
      <c r="E464" t="s">
        <v>26</v>
      </c>
      <c r="F464" t="s">
        <v>10</v>
      </c>
      <c r="G464" t="s">
        <v>16</v>
      </c>
      <c r="H464">
        <v>669.62</v>
      </c>
    </row>
    <row r="465" spans="1:8">
      <c r="A465">
        <v>464</v>
      </c>
      <c r="B465">
        <v>81</v>
      </c>
      <c r="C465" t="s">
        <v>12</v>
      </c>
      <c r="D465" t="s">
        <v>80</v>
      </c>
      <c r="E465" t="s">
        <v>9</v>
      </c>
      <c r="F465" t="s">
        <v>21</v>
      </c>
      <c r="G465" t="s">
        <v>11</v>
      </c>
      <c r="H465">
        <v>581.01</v>
      </c>
    </row>
    <row r="466" spans="1:8">
      <c r="A466">
        <v>465</v>
      </c>
      <c r="B466">
        <v>39</v>
      </c>
      <c r="C466" t="s">
        <v>8</v>
      </c>
      <c r="D466" t="s">
        <v>57</v>
      </c>
      <c r="E466" t="s">
        <v>15</v>
      </c>
      <c r="F466" t="s">
        <v>10</v>
      </c>
      <c r="G466" t="s">
        <v>20</v>
      </c>
      <c r="H466">
        <v>899.45</v>
      </c>
    </row>
    <row r="467" spans="1:8">
      <c r="A467">
        <v>466</v>
      </c>
      <c r="B467">
        <v>57</v>
      </c>
      <c r="C467" t="s">
        <v>19</v>
      </c>
      <c r="D467" s="1">
        <v>45413</v>
      </c>
      <c r="E467" t="s">
        <v>26</v>
      </c>
      <c r="F467" t="s">
        <v>18</v>
      </c>
      <c r="G467" t="s">
        <v>11</v>
      </c>
      <c r="H467">
        <v>764.59</v>
      </c>
    </row>
    <row r="468" spans="1:8">
      <c r="A468">
        <v>467</v>
      </c>
      <c r="B468">
        <v>83</v>
      </c>
      <c r="C468" t="s">
        <v>19</v>
      </c>
      <c r="D468" t="s">
        <v>117</v>
      </c>
      <c r="E468" t="s">
        <v>15</v>
      </c>
      <c r="F468" t="s">
        <v>21</v>
      </c>
      <c r="G468" t="s">
        <v>16</v>
      </c>
      <c r="H468">
        <v>150.16</v>
      </c>
    </row>
    <row r="469" spans="1:8">
      <c r="A469">
        <v>468</v>
      </c>
      <c r="B469">
        <v>98</v>
      </c>
      <c r="C469" t="s">
        <v>12</v>
      </c>
      <c r="D469" t="s">
        <v>118</v>
      </c>
      <c r="E469" t="s">
        <v>15</v>
      </c>
      <c r="F469" t="s">
        <v>10</v>
      </c>
      <c r="G469" t="s">
        <v>11</v>
      </c>
      <c r="H469">
        <v>791.72</v>
      </c>
    </row>
    <row r="470" spans="1:8">
      <c r="A470">
        <v>469</v>
      </c>
      <c r="B470">
        <v>90</v>
      </c>
      <c r="C470" t="s">
        <v>12</v>
      </c>
      <c r="D470" t="s">
        <v>25</v>
      </c>
      <c r="E470" t="s">
        <v>26</v>
      </c>
      <c r="F470" t="s">
        <v>21</v>
      </c>
      <c r="G470" t="s">
        <v>20</v>
      </c>
      <c r="H470">
        <v>15.1</v>
      </c>
    </row>
    <row r="471" spans="1:8">
      <c r="A471">
        <v>470</v>
      </c>
      <c r="B471">
        <v>76</v>
      </c>
      <c r="C471" t="s">
        <v>8</v>
      </c>
      <c r="D471" t="s">
        <v>70</v>
      </c>
      <c r="E471" t="s">
        <v>9</v>
      </c>
      <c r="F471" t="s">
        <v>10</v>
      </c>
      <c r="G471" t="s">
        <v>11</v>
      </c>
      <c r="H471">
        <v>466.92</v>
      </c>
    </row>
    <row r="472" spans="1:8">
      <c r="A472">
        <v>471</v>
      </c>
      <c r="B472">
        <v>89</v>
      </c>
      <c r="C472" t="s">
        <v>19</v>
      </c>
      <c r="D472" t="s">
        <v>96</v>
      </c>
      <c r="E472" t="s">
        <v>15</v>
      </c>
      <c r="F472" t="s">
        <v>10</v>
      </c>
      <c r="G472" t="s">
        <v>20</v>
      </c>
      <c r="H472">
        <v>833.02</v>
      </c>
    </row>
    <row r="473" spans="1:8">
      <c r="A473">
        <v>472</v>
      </c>
      <c r="B473">
        <v>43</v>
      </c>
      <c r="C473" t="s">
        <v>12</v>
      </c>
      <c r="D473" t="s">
        <v>96</v>
      </c>
      <c r="E473" t="s">
        <v>15</v>
      </c>
      <c r="F473" t="s">
        <v>18</v>
      </c>
      <c r="G473" t="s">
        <v>11</v>
      </c>
      <c r="H473">
        <v>907.98</v>
      </c>
    </row>
    <row r="474" spans="1:8">
      <c r="A474">
        <v>473</v>
      </c>
      <c r="B474">
        <v>38</v>
      </c>
      <c r="C474" t="s">
        <v>8</v>
      </c>
      <c r="D474" t="s">
        <v>27</v>
      </c>
      <c r="E474" t="s">
        <v>15</v>
      </c>
      <c r="F474" t="s">
        <v>10</v>
      </c>
      <c r="G474" t="s">
        <v>20</v>
      </c>
      <c r="H474">
        <v>652.85</v>
      </c>
    </row>
    <row r="475" spans="1:8">
      <c r="A475">
        <v>474</v>
      </c>
      <c r="B475">
        <v>62</v>
      </c>
      <c r="C475" t="s">
        <v>19</v>
      </c>
      <c r="D475" s="1">
        <v>45384</v>
      </c>
      <c r="E475" t="s">
        <v>9</v>
      </c>
      <c r="F475" t="s">
        <v>21</v>
      </c>
      <c r="G475" t="s">
        <v>16</v>
      </c>
      <c r="H475">
        <v>618.88</v>
      </c>
    </row>
    <row r="476" spans="1:8">
      <c r="A476">
        <v>475</v>
      </c>
      <c r="B476">
        <v>97</v>
      </c>
      <c r="C476" t="s">
        <v>19</v>
      </c>
      <c r="D476" t="s">
        <v>122</v>
      </c>
      <c r="E476" t="s">
        <v>26</v>
      </c>
      <c r="F476" t="s">
        <v>21</v>
      </c>
      <c r="G476" t="s">
        <v>20</v>
      </c>
      <c r="H476">
        <v>140.36000000000001</v>
      </c>
    </row>
    <row r="477" spans="1:8">
      <c r="A477">
        <v>476</v>
      </c>
      <c r="B477">
        <v>86</v>
      </c>
      <c r="C477" t="s">
        <v>19</v>
      </c>
      <c r="D477" s="1">
        <v>45293</v>
      </c>
      <c r="E477" t="s">
        <v>15</v>
      </c>
      <c r="F477" t="s">
        <v>18</v>
      </c>
      <c r="G477" t="s">
        <v>11</v>
      </c>
      <c r="H477">
        <v>683.68</v>
      </c>
    </row>
    <row r="478" spans="1:8">
      <c r="A478">
        <v>477</v>
      </c>
      <c r="B478">
        <v>38</v>
      </c>
      <c r="C478" t="s">
        <v>12</v>
      </c>
      <c r="D478" t="s">
        <v>33</v>
      </c>
      <c r="E478" t="s">
        <v>9</v>
      </c>
      <c r="F478" t="s">
        <v>18</v>
      </c>
      <c r="G478" t="s">
        <v>11</v>
      </c>
      <c r="H478">
        <v>613.47</v>
      </c>
    </row>
    <row r="479" spans="1:8">
      <c r="A479">
        <v>478</v>
      </c>
      <c r="B479">
        <v>58</v>
      </c>
      <c r="C479" t="s">
        <v>12</v>
      </c>
      <c r="D479" t="s">
        <v>123</v>
      </c>
      <c r="E479" t="s">
        <v>26</v>
      </c>
      <c r="F479" t="s">
        <v>21</v>
      </c>
      <c r="G479" t="s">
        <v>11</v>
      </c>
      <c r="H479">
        <v>895.11</v>
      </c>
    </row>
    <row r="480" spans="1:8">
      <c r="A480">
        <v>479</v>
      </c>
      <c r="B480">
        <v>32</v>
      </c>
      <c r="C480" t="s">
        <v>19</v>
      </c>
      <c r="D480" s="1">
        <v>45479</v>
      </c>
      <c r="E480" t="s">
        <v>9</v>
      </c>
      <c r="F480" t="s">
        <v>18</v>
      </c>
      <c r="G480" t="s">
        <v>11</v>
      </c>
      <c r="H480">
        <v>515.94000000000005</v>
      </c>
    </row>
    <row r="481" spans="1:8">
      <c r="A481">
        <v>480</v>
      </c>
      <c r="B481">
        <v>78</v>
      </c>
      <c r="C481" t="s">
        <v>12</v>
      </c>
      <c r="D481" s="1">
        <v>45474</v>
      </c>
      <c r="E481" t="s">
        <v>15</v>
      </c>
      <c r="F481" t="s">
        <v>10</v>
      </c>
      <c r="G481" t="s">
        <v>16</v>
      </c>
      <c r="H481">
        <v>293.08999999999997</v>
      </c>
    </row>
    <row r="482" spans="1:8">
      <c r="A482">
        <v>481</v>
      </c>
      <c r="B482">
        <v>66</v>
      </c>
      <c r="C482" t="s">
        <v>19</v>
      </c>
      <c r="D482" s="1">
        <v>45328</v>
      </c>
      <c r="E482" t="s">
        <v>26</v>
      </c>
      <c r="F482" t="s">
        <v>18</v>
      </c>
      <c r="G482" t="s">
        <v>16</v>
      </c>
      <c r="H482">
        <v>689.42</v>
      </c>
    </row>
    <row r="483" spans="1:8">
      <c r="A483">
        <v>482</v>
      </c>
      <c r="B483">
        <v>68</v>
      </c>
      <c r="C483" t="s">
        <v>8</v>
      </c>
      <c r="D483" t="s">
        <v>124</v>
      </c>
      <c r="E483" t="s">
        <v>26</v>
      </c>
      <c r="F483" t="s">
        <v>18</v>
      </c>
      <c r="G483" t="s">
        <v>11</v>
      </c>
      <c r="H483">
        <v>148.53</v>
      </c>
    </row>
    <row r="484" spans="1:8">
      <c r="A484">
        <v>483</v>
      </c>
      <c r="B484">
        <v>10</v>
      </c>
      <c r="C484" t="s">
        <v>8</v>
      </c>
      <c r="D484" t="s">
        <v>64</v>
      </c>
      <c r="E484" t="s">
        <v>9</v>
      </c>
      <c r="F484" t="s">
        <v>21</v>
      </c>
      <c r="G484" t="s">
        <v>11</v>
      </c>
      <c r="H484">
        <v>933.3</v>
      </c>
    </row>
    <row r="485" spans="1:8">
      <c r="A485">
        <v>484</v>
      </c>
      <c r="B485">
        <v>77</v>
      </c>
      <c r="C485" t="s">
        <v>19</v>
      </c>
      <c r="D485" s="1">
        <v>45567</v>
      </c>
      <c r="E485" t="s">
        <v>15</v>
      </c>
      <c r="F485" t="s">
        <v>10</v>
      </c>
      <c r="G485" t="s">
        <v>20</v>
      </c>
      <c r="H485">
        <v>336.75</v>
      </c>
    </row>
    <row r="486" spans="1:8">
      <c r="A486">
        <v>485</v>
      </c>
      <c r="B486">
        <v>50</v>
      </c>
      <c r="C486" t="s">
        <v>8</v>
      </c>
      <c r="D486" t="s">
        <v>87</v>
      </c>
      <c r="E486" t="s">
        <v>26</v>
      </c>
      <c r="F486" t="s">
        <v>10</v>
      </c>
      <c r="G486" t="s">
        <v>20</v>
      </c>
      <c r="H486">
        <v>223.73</v>
      </c>
    </row>
    <row r="487" spans="1:8">
      <c r="A487">
        <v>486</v>
      </c>
      <c r="B487">
        <v>97</v>
      </c>
      <c r="C487" t="s">
        <v>19</v>
      </c>
      <c r="D487" t="s">
        <v>39</v>
      </c>
      <c r="E487" t="s">
        <v>15</v>
      </c>
      <c r="F487" t="s">
        <v>18</v>
      </c>
      <c r="G487" t="s">
        <v>16</v>
      </c>
      <c r="H487">
        <v>236.47</v>
      </c>
    </row>
    <row r="488" spans="1:8">
      <c r="A488">
        <v>487</v>
      </c>
      <c r="B488">
        <v>26</v>
      </c>
      <c r="C488" t="s">
        <v>19</v>
      </c>
      <c r="D488" t="s">
        <v>114</v>
      </c>
      <c r="E488" t="s">
        <v>15</v>
      </c>
      <c r="F488" t="s">
        <v>18</v>
      </c>
      <c r="G488" t="s">
        <v>20</v>
      </c>
      <c r="H488">
        <v>647.11</v>
      </c>
    </row>
    <row r="489" spans="1:8">
      <c r="A489">
        <v>488</v>
      </c>
      <c r="B489">
        <v>51</v>
      </c>
      <c r="C489" t="s">
        <v>19</v>
      </c>
      <c r="D489" s="1">
        <v>45386</v>
      </c>
      <c r="E489" t="s">
        <v>26</v>
      </c>
      <c r="F489" t="s">
        <v>10</v>
      </c>
      <c r="G489" t="s">
        <v>16</v>
      </c>
      <c r="H489">
        <v>268.57</v>
      </c>
    </row>
    <row r="490" spans="1:8">
      <c r="A490">
        <v>489</v>
      </c>
      <c r="B490">
        <v>57</v>
      </c>
      <c r="C490" t="s">
        <v>19</v>
      </c>
      <c r="D490" s="1">
        <v>45570</v>
      </c>
      <c r="E490" t="s">
        <v>15</v>
      </c>
      <c r="F490" t="s">
        <v>10</v>
      </c>
      <c r="G490" t="s">
        <v>11</v>
      </c>
      <c r="H490">
        <v>405.89</v>
      </c>
    </row>
    <row r="491" spans="1:8">
      <c r="A491">
        <v>490</v>
      </c>
      <c r="B491">
        <v>12</v>
      </c>
      <c r="C491" t="s">
        <v>12</v>
      </c>
      <c r="D491" s="1">
        <v>45599</v>
      </c>
      <c r="E491" t="s">
        <v>15</v>
      </c>
      <c r="F491" t="s">
        <v>10</v>
      </c>
      <c r="G491" t="s">
        <v>20</v>
      </c>
      <c r="H491">
        <v>643.98</v>
      </c>
    </row>
    <row r="492" spans="1:8">
      <c r="A492">
        <v>491</v>
      </c>
      <c r="B492">
        <v>90</v>
      </c>
      <c r="C492" t="s">
        <v>12</v>
      </c>
      <c r="D492" t="s">
        <v>34</v>
      </c>
      <c r="E492" t="s">
        <v>15</v>
      </c>
      <c r="F492" t="s">
        <v>18</v>
      </c>
      <c r="G492" t="s">
        <v>20</v>
      </c>
      <c r="H492">
        <v>183.11</v>
      </c>
    </row>
    <row r="493" spans="1:8">
      <c r="A493">
        <v>492</v>
      </c>
      <c r="B493">
        <v>79</v>
      </c>
      <c r="C493" t="s">
        <v>12</v>
      </c>
      <c r="D493" t="s">
        <v>125</v>
      </c>
      <c r="E493" t="s">
        <v>9</v>
      </c>
      <c r="F493" t="s">
        <v>21</v>
      </c>
      <c r="G493" t="s">
        <v>11</v>
      </c>
      <c r="H493">
        <v>878.64</v>
      </c>
    </row>
    <row r="494" spans="1:8">
      <c r="A494">
        <v>493</v>
      </c>
      <c r="B494">
        <v>58</v>
      </c>
      <c r="C494" t="s">
        <v>12</v>
      </c>
      <c r="D494" s="1">
        <v>45541</v>
      </c>
      <c r="E494" t="s">
        <v>9</v>
      </c>
      <c r="F494" t="s">
        <v>18</v>
      </c>
      <c r="G494" t="s">
        <v>20</v>
      </c>
      <c r="H494">
        <v>702.09</v>
      </c>
    </row>
    <row r="495" spans="1:8">
      <c r="A495">
        <v>494</v>
      </c>
      <c r="B495">
        <v>31</v>
      </c>
      <c r="C495" t="s">
        <v>8</v>
      </c>
      <c r="D495" s="1">
        <v>45294</v>
      </c>
      <c r="E495" t="s">
        <v>15</v>
      </c>
      <c r="F495" t="s">
        <v>18</v>
      </c>
      <c r="G495" t="s">
        <v>11</v>
      </c>
      <c r="H495">
        <v>823.59</v>
      </c>
    </row>
    <row r="496" spans="1:8">
      <c r="A496">
        <v>495</v>
      </c>
      <c r="B496">
        <v>49</v>
      </c>
      <c r="C496" t="s">
        <v>8</v>
      </c>
      <c r="D496" t="s">
        <v>97</v>
      </c>
      <c r="E496" t="s">
        <v>26</v>
      </c>
      <c r="F496" t="s">
        <v>21</v>
      </c>
      <c r="G496" t="s">
        <v>16</v>
      </c>
      <c r="H496">
        <v>294.56</v>
      </c>
    </row>
    <row r="497" spans="1:8">
      <c r="A497">
        <v>496</v>
      </c>
      <c r="B497">
        <v>6</v>
      </c>
      <c r="C497" t="s">
        <v>12</v>
      </c>
      <c r="D497" t="s">
        <v>77</v>
      </c>
      <c r="E497" t="s">
        <v>15</v>
      </c>
      <c r="F497" t="s">
        <v>18</v>
      </c>
      <c r="G497" t="s">
        <v>11</v>
      </c>
      <c r="H497">
        <v>533.14</v>
      </c>
    </row>
    <row r="498" spans="1:8">
      <c r="A498">
        <v>497</v>
      </c>
      <c r="B498">
        <v>49</v>
      </c>
      <c r="C498" t="s">
        <v>12</v>
      </c>
      <c r="D498" t="s">
        <v>17</v>
      </c>
      <c r="E498" t="s">
        <v>9</v>
      </c>
      <c r="F498" t="s">
        <v>18</v>
      </c>
      <c r="G498" t="s">
        <v>11</v>
      </c>
      <c r="H498">
        <v>975.5</v>
      </c>
    </row>
    <row r="499" spans="1:8">
      <c r="A499">
        <v>498</v>
      </c>
      <c r="B499">
        <v>87</v>
      </c>
      <c r="C499" t="s">
        <v>19</v>
      </c>
      <c r="D499" t="s">
        <v>126</v>
      </c>
      <c r="E499" t="s">
        <v>15</v>
      </c>
      <c r="F499" t="s">
        <v>21</v>
      </c>
      <c r="G499" t="s">
        <v>11</v>
      </c>
      <c r="H499">
        <v>707.21</v>
      </c>
    </row>
    <row r="500" spans="1:8">
      <c r="A500">
        <v>499</v>
      </c>
      <c r="B500">
        <v>60</v>
      </c>
      <c r="C500" t="s">
        <v>19</v>
      </c>
      <c r="D500" s="1">
        <v>45295</v>
      </c>
      <c r="E500" t="s">
        <v>26</v>
      </c>
      <c r="F500" t="s">
        <v>21</v>
      </c>
      <c r="G500" t="s">
        <v>11</v>
      </c>
      <c r="H500">
        <v>775.91</v>
      </c>
    </row>
    <row r="501" spans="1:8">
      <c r="A501">
        <v>500</v>
      </c>
      <c r="B501">
        <v>100</v>
      </c>
      <c r="C501" t="s">
        <v>12</v>
      </c>
      <c r="D501" t="s">
        <v>74</v>
      </c>
      <c r="E501" t="s">
        <v>26</v>
      </c>
      <c r="F501" t="s">
        <v>21</v>
      </c>
      <c r="G501" t="s">
        <v>20</v>
      </c>
      <c r="H501">
        <v>617.36</v>
      </c>
    </row>
    <row r="502" spans="1:8">
      <c r="A502">
        <v>501</v>
      </c>
      <c r="B502">
        <v>46</v>
      </c>
      <c r="C502" t="s">
        <v>8</v>
      </c>
      <c r="D502" t="s">
        <v>36</v>
      </c>
      <c r="E502" t="s">
        <v>26</v>
      </c>
      <c r="F502" t="s">
        <v>10</v>
      </c>
      <c r="G502" t="s">
        <v>11</v>
      </c>
      <c r="H502">
        <v>922.52</v>
      </c>
    </row>
    <row r="503" spans="1:8">
      <c r="A503">
        <v>502</v>
      </c>
      <c r="B503">
        <v>62</v>
      </c>
      <c r="C503" t="s">
        <v>8</v>
      </c>
      <c r="D503" t="s">
        <v>13</v>
      </c>
      <c r="E503" t="s">
        <v>26</v>
      </c>
      <c r="F503" t="s">
        <v>10</v>
      </c>
      <c r="G503" t="s">
        <v>16</v>
      </c>
      <c r="H503">
        <v>81.91</v>
      </c>
    </row>
    <row r="504" spans="1:8">
      <c r="A504">
        <v>503</v>
      </c>
      <c r="B504">
        <v>91</v>
      </c>
      <c r="C504" t="s">
        <v>19</v>
      </c>
      <c r="D504" t="s">
        <v>115</v>
      </c>
      <c r="E504" t="s">
        <v>26</v>
      </c>
      <c r="F504" t="s">
        <v>18</v>
      </c>
      <c r="G504" t="s">
        <v>20</v>
      </c>
      <c r="H504">
        <v>40.19</v>
      </c>
    </row>
    <row r="505" spans="1:8">
      <c r="A505">
        <v>504</v>
      </c>
      <c r="B505">
        <v>74</v>
      </c>
      <c r="C505" t="s">
        <v>19</v>
      </c>
      <c r="D505" t="s">
        <v>102</v>
      </c>
      <c r="E505" t="s">
        <v>15</v>
      </c>
      <c r="F505" t="s">
        <v>21</v>
      </c>
      <c r="G505" t="s">
        <v>20</v>
      </c>
      <c r="H505">
        <v>943.79</v>
      </c>
    </row>
    <row r="506" spans="1:8">
      <c r="A506">
        <v>505</v>
      </c>
      <c r="B506">
        <v>92</v>
      </c>
      <c r="C506" t="s">
        <v>8</v>
      </c>
      <c r="D506" s="1">
        <v>45600</v>
      </c>
      <c r="E506" t="s">
        <v>26</v>
      </c>
      <c r="F506" t="s">
        <v>10</v>
      </c>
      <c r="G506" t="s">
        <v>11</v>
      </c>
      <c r="H506">
        <v>411.9</v>
      </c>
    </row>
    <row r="507" spans="1:8">
      <c r="A507">
        <v>506</v>
      </c>
      <c r="B507">
        <v>66</v>
      </c>
      <c r="C507" t="s">
        <v>8</v>
      </c>
      <c r="D507" s="1">
        <v>45417</v>
      </c>
      <c r="E507" t="s">
        <v>15</v>
      </c>
      <c r="F507" t="s">
        <v>18</v>
      </c>
      <c r="G507" t="s">
        <v>11</v>
      </c>
      <c r="H507">
        <v>759.53</v>
      </c>
    </row>
    <row r="508" spans="1:8">
      <c r="A508">
        <v>507</v>
      </c>
      <c r="B508">
        <v>81</v>
      </c>
      <c r="C508" t="s">
        <v>19</v>
      </c>
      <c r="D508" t="s">
        <v>23</v>
      </c>
      <c r="E508" t="s">
        <v>9</v>
      </c>
      <c r="F508" t="s">
        <v>18</v>
      </c>
      <c r="G508" t="s">
        <v>20</v>
      </c>
      <c r="H508">
        <v>368.11</v>
      </c>
    </row>
    <row r="509" spans="1:8">
      <c r="A509">
        <v>508</v>
      </c>
      <c r="B509">
        <v>41</v>
      </c>
      <c r="C509" t="s">
        <v>12</v>
      </c>
      <c r="D509" s="1">
        <v>45386</v>
      </c>
      <c r="E509" t="s">
        <v>26</v>
      </c>
      <c r="F509" t="s">
        <v>21</v>
      </c>
      <c r="G509" t="s">
        <v>11</v>
      </c>
      <c r="H509">
        <v>27.9</v>
      </c>
    </row>
    <row r="510" spans="1:8">
      <c r="A510">
        <v>509</v>
      </c>
      <c r="B510">
        <v>91</v>
      </c>
      <c r="C510" t="s">
        <v>8</v>
      </c>
      <c r="D510" t="s">
        <v>125</v>
      </c>
      <c r="E510" t="s">
        <v>15</v>
      </c>
      <c r="F510" t="s">
        <v>18</v>
      </c>
      <c r="G510" t="s">
        <v>16</v>
      </c>
      <c r="H510">
        <v>670.09</v>
      </c>
    </row>
    <row r="511" spans="1:8">
      <c r="A511">
        <v>510</v>
      </c>
      <c r="B511">
        <v>35</v>
      </c>
      <c r="C511" t="s">
        <v>12</v>
      </c>
      <c r="D511" t="s">
        <v>54</v>
      </c>
      <c r="E511" t="s">
        <v>15</v>
      </c>
      <c r="F511" t="s">
        <v>18</v>
      </c>
      <c r="G511" t="s">
        <v>16</v>
      </c>
      <c r="H511">
        <v>790.76</v>
      </c>
    </row>
    <row r="512" spans="1:8">
      <c r="A512">
        <v>511</v>
      </c>
      <c r="B512">
        <v>12</v>
      </c>
      <c r="C512" t="s">
        <v>19</v>
      </c>
      <c r="D512" t="s">
        <v>28</v>
      </c>
      <c r="E512" t="s">
        <v>15</v>
      </c>
      <c r="F512" t="s">
        <v>21</v>
      </c>
      <c r="G512" t="s">
        <v>20</v>
      </c>
      <c r="H512">
        <v>769.88</v>
      </c>
    </row>
    <row r="513" spans="1:8">
      <c r="A513">
        <v>512</v>
      </c>
      <c r="B513">
        <v>77</v>
      </c>
      <c r="C513" t="s">
        <v>19</v>
      </c>
      <c r="D513" s="1">
        <v>45448</v>
      </c>
      <c r="E513" t="s">
        <v>15</v>
      </c>
      <c r="F513" t="s">
        <v>18</v>
      </c>
      <c r="G513" t="s">
        <v>16</v>
      </c>
      <c r="H513">
        <v>262.60000000000002</v>
      </c>
    </row>
    <row r="514" spans="1:8">
      <c r="A514">
        <v>513</v>
      </c>
      <c r="B514">
        <v>11</v>
      </c>
      <c r="C514" t="s">
        <v>19</v>
      </c>
      <c r="D514" t="s">
        <v>44</v>
      </c>
      <c r="E514" t="s">
        <v>26</v>
      </c>
      <c r="F514" t="s">
        <v>21</v>
      </c>
      <c r="G514" t="s">
        <v>11</v>
      </c>
      <c r="H514">
        <v>520.44000000000005</v>
      </c>
    </row>
    <row r="515" spans="1:8">
      <c r="A515">
        <v>514</v>
      </c>
      <c r="B515">
        <v>93</v>
      </c>
      <c r="C515" t="s">
        <v>8</v>
      </c>
      <c r="D515" t="s">
        <v>50</v>
      </c>
      <c r="E515" t="s">
        <v>9</v>
      </c>
      <c r="F515" t="s">
        <v>10</v>
      </c>
      <c r="G515" t="s">
        <v>11</v>
      </c>
      <c r="H515">
        <v>624.75</v>
      </c>
    </row>
    <row r="516" spans="1:8">
      <c r="A516">
        <v>515</v>
      </c>
      <c r="B516">
        <v>3</v>
      </c>
      <c r="C516" t="s">
        <v>8</v>
      </c>
      <c r="D516" t="s">
        <v>79</v>
      </c>
      <c r="E516" t="s">
        <v>15</v>
      </c>
      <c r="F516" t="s">
        <v>21</v>
      </c>
      <c r="G516" t="s">
        <v>20</v>
      </c>
      <c r="H516">
        <v>496.27</v>
      </c>
    </row>
    <row r="517" spans="1:8">
      <c r="A517">
        <v>516</v>
      </c>
      <c r="B517">
        <v>43</v>
      </c>
      <c r="C517" t="s">
        <v>12</v>
      </c>
      <c r="D517" t="s">
        <v>28</v>
      </c>
      <c r="E517" t="s">
        <v>9</v>
      </c>
      <c r="F517" t="s">
        <v>21</v>
      </c>
      <c r="G517" t="s">
        <v>16</v>
      </c>
      <c r="H517">
        <v>368.54</v>
      </c>
    </row>
    <row r="518" spans="1:8">
      <c r="A518">
        <v>517</v>
      </c>
      <c r="B518">
        <v>88</v>
      </c>
      <c r="C518" t="s">
        <v>19</v>
      </c>
      <c r="D518" s="1">
        <v>45632</v>
      </c>
      <c r="E518" t="s">
        <v>15</v>
      </c>
      <c r="F518" t="s">
        <v>21</v>
      </c>
      <c r="G518" t="s">
        <v>20</v>
      </c>
      <c r="H518">
        <v>942.94</v>
      </c>
    </row>
    <row r="519" spans="1:8">
      <c r="A519">
        <v>518</v>
      </c>
      <c r="B519">
        <v>4</v>
      </c>
      <c r="C519" t="s">
        <v>19</v>
      </c>
      <c r="D519" t="s">
        <v>17</v>
      </c>
      <c r="E519" t="s">
        <v>15</v>
      </c>
      <c r="F519" t="s">
        <v>18</v>
      </c>
      <c r="G519" t="s">
        <v>16</v>
      </c>
      <c r="H519">
        <v>449.63</v>
      </c>
    </row>
    <row r="520" spans="1:8">
      <c r="A520">
        <v>519</v>
      </c>
      <c r="B520">
        <v>96</v>
      </c>
      <c r="C520" t="s">
        <v>12</v>
      </c>
      <c r="D520" t="s">
        <v>76</v>
      </c>
      <c r="E520" t="s">
        <v>15</v>
      </c>
      <c r="F520" t="s">
        <v>18</v>
      </c>
      <c r="G520" t="s">
        <v>20</v>
      </c>
      <c r="H520">
        <v>117.82</v>
      </c>
    </row>
    <row r="521" spans="1:8">
      <c r="A521">
        <v>520</v>
      </c>
      <c r="B521">
        <v>75</v>
      </c>
      <c r="C521" t="s">
        <v>12</v>
      </c>
      <c r="D521" s="1">
        <v>45631</v>
      </c>
      <c r="E521" t="s">
        <v>15</v>
      </c>
      <c r="F521" t="s">
        <v>18</v>
      </c>
      <c r="G521" t="s">
        <v>11</v>
      </c>
      <c r="H521">
        <v>300.05</v>
      </c>
    </row>
    <row r="522" spans="1:8">
      <c r="A522">
        <v>521</v>
      </c>
      <c r="B522">
        <v>86</v>
      </c>
      <c r="C522" t="s">
        <v>8</v>
      </c>
      <c r="D522" s="1">
        <v>45474</v>
      </c>
      <c r="E522" t="s">
        <v>26</v>
      </c>
      <c r="F522" t="s">
        <v>18</v>
      </c>
      <c r="G522" t="s">
        <v>11</v>
      </c>
      <c r="H522">
        <v>975.1</v>
      </c>
    </row>
    <row r="523" spans="1:8">
      <c r="A523">
        <v>522</v>
      </c>
      <c r="B523">
        <v>70</v>
      </c>
      <c r="C523" t="s">
        <v>8</v>
      </c>
      <c r="D523" t="s">
        <v>36</v>
      </c>
      <c r="E523" t="s">
        <v>26</v>
      </c>
      <c r="F523" t="s">
        <v>18</v>
      </c>
      <c r="G523" t="s">
        <v>20</v>
      </c>
      <c r="H523">
        <v>74.36</v>
      </c>
    </row>
    <row r="524" spans="1:8">
      <c r="A524">
        <v>523</v>
      </c>
      <c r="B524">
        <v>6</v>
      </c>
      <c r="C524" t="s">
        <v>12</v>
      </c>
      <c r="D524" s="1">
        <v>45505</v>
      </c>
      <c r="E524" t="s">
        <v>9</v>
      </c>
      <c r="F524" t="s">
        <v>21</v>
      </c>
      <c r="G524" t="s">
        <v>16</v>
      </c>
      <c r="H524">
        <v>924.05</v>
      </c>
    </row>
    <row r="525" spans="1:8">
      <c r="A525">
        <v>524</v>
      </c>
      <c r="B525">
        <v>14</v>
      </c>
      <c r="C525" t="s">
        <v>19</v>
      </c>
      <c r="D525" s="1">
        <v>45567</v>
      </c>
      <c r="E525" t="s">
        <v>26</v>
      </c>
      <c r="F525" t="s">
        <v>10</v>
      </c>
      <c r="G525" t="s">
        <v>11</v>
      </c>
      <c r="H525">
        <v>132.38999999999999</v>
      </c>
    </row>
    <row r="526" spans="1:8">
      <c r="A526">
        <v>525</v>
      </c>
      <c r="B526">
        <v>77</v>
      </c>
      <c r="C526" t="s">
        <v>12</v>
      </c>
      <c r="D526" t="s">
        <v>48</v>
      </c>
      <c r="E526" t="s">
        <v>26</v>
      </c>
      <c r="F526" t="s">
        <v>18</v>
      </c>
      <c r="G526" t="s">
        <v>20</v>
      </c>
      <c r="H526">
        <v>893.77</v>
      </c>
    </row>
    <row r="527" spans="1:8">
      <c r="A527">
        <v>526</v>
      </c>
      <c r="B527">
        <v>65</v>
      </c>
      <c r="C527" t="s">
        <v>8</v>
      </c>
      <c r="D527" s="1">
        <v>45567</v>
      </c>
      <c r="E527" t="s">
        <v>26</v>
      </c>
      <c r="F527" t="s">
        <v>10</v>
      </c>
      <c r="G527" t="s">
        <v>20</v>
      </c>
      <c r="H527">
        <v>142.63999999999999</v>
      </c>
    </row>
    <row r="528" spans="1:8">
      <c r="A528">
        <v>527</v>
      </c>
      <c r="B528">
        <v>70</v>
      </c>
      <c r="C528" t="s">
        <v>8</v>
      </c>
      <c r="D528" t="s">
        <v>74</v>
      </c>
      <c r="E528" t="s">
        <v>9</v>
      </c>
      <c r="F528" t="s">
        <v>10</v>
      </c>
      <c r="G528" t="s">
        <v>20</v>
      </c>
      <c r="H528">
        <v>368.94</v>
      </c>
    </row>
    <row r="529" spans="1:8">
      <c r="A529">
        <v>528</v>
      </c>
      <c r="B529">
        <v>8</v>
      </c>
      <c r="C529" t="s">
        <v>12</v>
      </c>
      <c r="D529" s="1">
        <v>45571</v>
      </c>
      <c r="E529" t="s">
        <v>15</v>
      </c>
      <c r="F529" t="s">
        <v>10</v>
      </c>
      <c r="G529" t="s">
        <v>16</v>
      </c>
      <c r="H529">
        <v>997.03</v>
      </c>
    </row>
    <row r="530" spans="1:8">
      <c r="A530">
        <v>529</v>
      </c>
      <c r="B530">
        <v>54</v>
      </c>
      <c r="C530" t="s">
        <v>8</v>
      </c>
      <c r="D530" s="1">
        <v>45323</v>
      </c>
      <c r="E530" t="s">
        <v>26</v>
      </c>
      <c r="F530" t="s">
        <v>10</v>
      </c>
      <c r="G530" t="s">
        <v>20</v>
      </c>
      <c r="H530">
        <v>496.1</v>
      </c>
    </row>
    <row r="531" spans="1:8">
      <c r="A531">
        <v>530</v>
      </c>
      <c r="B531">
        <v>98</v>
      </c>
      <c r="C531" t="s">
        <v>12</v>
      </c>
      <c r="D531" s="1">
        <v>45324</v>
      </c>
      <c r="E531" t="s">
        <v>26</v>
      </c>
      <c r="F531" t="s">
        <v>18</v>
      </c>
      <c r="G531" t="s">
        <v>16</v>
      </c>
      <c r="H531">
        <v>798.12</v>
      </c>
    </row>
    <row r="532" spans="1:8">
      <c r="A532">
        <v>531</v>
      </c>
      <c r="B532">
        <v>82</v>
      </c>
      <c r="C532" t="s">
        <v>19</v>
      </c>
      <c r="D532" s="1">
        <v>45506</v>
      </c>
      <c r="E532" t="s">
        <v>15</v>
      </c>
      <c r="F532" t="s">
        <v>18</v>
      </c>
      <c r="G532" t="s">
        <v>11</v>
      </c>
      <c r="H532">
        <v>572.74</v>
      </c>
    </row>
    <row r="533" spans="1:8">
      <c r="A533">
        <v>532</v>
      </c>
      <c r="B533">
        <v>6</v>
      </c>
      <c r="C533" t="s">
        <v>8</v>
      </c>
      <c r="D533" s="1">
        <v>45567</v>
      </c>
      <c r="E533" t="s">
        <v>26</v>
      </c>
      <c r="F533" t="s">
        <v>18</v>
      </c>
      <c r="G533" t="s">
        <v>20</v>
      </c>
      <c r="H533">
        <v>53.77</v>
      </c>
    </row>
    <row r="534" spans="1:8">
      <c r="A534">
        <v>533</v>
      </c>
      <c r="B534">
        <v>49</v>
      </c>
      <c r="C534" t="s">
        <v>19</v>
      </c>
      <c r="D534" s="1">
        <v>45355</v>
      </c>
      <c r="E534" t="s">
        <v>26</v>
      </c>
      <c r="F534" t="s">
        <v>10</v>
      </c>
      <c r="G534" t="s">
        <v>11</v>
      </c>
      <c r="H534">
        <v>369.83</v>
      </c>
    </row>
    <row r="535" spans="1:8">
      <c r="A535">
        <v>534</v>
      </c>
      <c r="B535">
        <v>14</v>
      </c>
      <c r="C535" t="s">
        <v>19</v>
      </c>
      <c r="D535" s="1">
        <v>45600</v>
      </c>
      <c r="E535" t="s">
        <v>26</v>
      </c>
      <c r="F535" t="s">
        <v>10</v>
      </c>
      <c r="G535" t="s">
        <v>11</v>
      </c>
      <c r="H535">
        <v>398.17</v>
      </c>
    </row>
    <row r="536" spans="1:8">
      <c r="A536">
        <v>535</v>
      </c>
      <c r="B536">
        <v>88</v>
      </c>
      <c r="C536" t="s">
        <v>8</v>
      </c>
      <c r="D536" t="s">
        <v>89</v>
      </c>
      <c r="E536" t="s">
        <v>15</v>
      </c>
      <c r="F536" t="s">
        <v>18</v>
      </c>
      <c r="G536" t="s">
        <v>16</v>
      </c>
      <c r="H536">
        <v>825.57</v>
      </c>
    </row>
    <row r="537" spans="1:8">
      <c r="A537">
        <v>536</v>
      </c>
      <c r="B537">
        <v>8</v>
      </c>
      <c r="C537" t="s">
        <v>12</v>
      </c>
      <c r="D537" t="s">
        <v>120</v>
      </c>
      <c r="E537" t="s">
        <v>15</v>
      </c>
      <c r="F537" t="s">
        <v>18</v>
      </c>
      <c r="G537" t="s">
        <v>16</v>
      </c>
      <c r="H537">
        <v>201.88</v>
      </c>
    </row>
    <row r="538" spans="1:8">
      <c r="A538">
        <v>537</v>
      </c>
      <c r="B538">
        <v>91</v>
      </c>
      <c r="C538" t="s">
        <v>19</v>
      </c>
      <c r="D538" t="s">
        <v>115</v>
      </c>
      <c r="E538" t="s">
        <v>9</v>
      </c>
      <c r="F538" t="s">
        <v>18</v>
      </c>
      <c r="G538" t="s">
        <v>11</v>
      </c>
      <c r="H538">
        <v>47.47</v>
      </c>
    </row>
    <row r="539" spans="1:8">
      <c r="A539">
        <v>538</v>
      </c>
      <c r="B539">
        <v>1</v>
      </c>
      <c r="C539" t="s">
        <v>8</v>
      </c>
      <c r="D539" s="1">
        <v>45601</v>
      </c>
      <c r="E539" t="s">
        <v>9</v>
      </c>
      <c r="F539" t="s">
        <v>21</v>
      </c>
      <c r="G539" t="s">
        <v>16</v>
      </c>
      <c r="H539">
        <v>856.33</v>
      </c>
    </row>
    <row r="540" spans="1:8">
      <c r="A540">
        <v>539</v>
      </c>
      <c r="B540">
        <v>15</v>
      </c>
      <c r="C540" t="s">
        <v>19</v>
      </c>
      <c r="D540" s="1">
        <v>45631</v>
      </c>
      <c r="E540" t="s">
        <v>15</v>
      </c>
      <c r="F540" t="s">
        <v>21</v>
      </c>
      <c r="G540" t="s">
        <v>20</v>
      </c>
      <c r="H540">
        <v>497.65</v>
      </c>
    </row>
    <row r="541" spans="1:8">
      <c r="A541">
        <v>540</v>
      </c>
      <c r="B541">
        <v>20</v>
      </c>
      <c r="C541" t="s">
        <v>19</v>
      </c>
      <c r="D541" t="s">
        <v>47</v>
      </c>
      <c r="E541" t="s">
        <v>15</v>
      </c>
      <c r="F541" t="s">
        <v>10</v>
      </c>
      <c r="G541" t="s">
        <v>20</v>
      </c>
      <c r="H541">
        <v>908.53</v>
      </c>
    </row>
    <row r="542" spans="1:8">
      <c r="A542">
        <v>541</v>
      </c>
      <c r="B542">
        <v>16</v>
      </c>
      <c r="C542" t="s">
        <v>19</v>
      </c>
      <c r="D542" t="s">
        <v>110</v>
      </c>
      <c r="E542" t="s">
        <v>9</v>
      </c>
      <c r="F542" t="s">
        <v>18</v>
      </c>
      <c r="G542" t="s">
        <v>20</v>
      </c>
      <c r="H542">
        <v>371.88</v>
      </c>
    </row>
    <row r="543" spans="1:8">
      <c r="A543">
        <v>542</v>
      </c>
      <c r="B543">
        <v>49</v>
      </c>
      <c r="C543" t="s">
        <v>12</v>
      </c>
      <c r="D543" t="s">
        <v>42</v>
      </c>
      <c r="E543" t="s">
        <v>26</v>
      </c>
      <c r="F543" t="s">
        <v>21</v>
      </c>
      <c r="G543" t="s">
        <v>20</v>
      </c>
      <c r="H543">
        <v>960.15</v>
      </c>
    </row>
    <row r="544" spans="1:8">
      <c r="A544">
        <v>543</v>
      </c>
      <c r="B544">
        <v>76</v>
      </c>
      <c r="C544" t="s">
        <v>8</v>
      </c>
      <c r="D544" t="s">
        <v>127</v>
      </c>
      <c r="E544" t="s">
        <v>9</v>
      </c>
      <c r="F544" t="s">
        <v>10</v>
      </c>
      <c r="G544" t="s">
        <v>11</v>
      </c>
      <c r="H544">
        <v>73.55</v>
      </c>
    </row>
    <row r="545" spans="1:8">
      <c r="A545">
        <v>544</v>
      </c>
      <c r="B545">
        <v>56</v>
      </c>
      <c r="C545" t="s">
        <v>19</v>
      </c>
      <c r="D545" s="1">
        <v>45627</v>
      </c>
      <c r="E545" t="s">
        <v>9</v>
      </c>
      <c r="F545" t="s">
        <v>10</v>
      </c>
      <c r="G545" t="s">
        <v>16</v>
      </c>
      <c r="H545">
        <v>615.42999999999995</v>
      </c>
    </row>
    <row r="546" spans="1:8">
      <c r="A546">
        <v>545</v>
      </c>
      <c r="B546">
        <v>21</v>
      </c>
      <c r="C546" t="s">
        <v>8</v>
      </c>
      <c r="D546" t="s">
        <v>126</v>
      </c>
      <c r="E546" t="s">
        <v>9</v>
      </c>
      <c r="F546" t="s">
        <v>10</v>
      </c>
      <c r="G546" t="s">
        <v>11</v>
      </c>
      <c r="H546">
        <v>619.02</v>
      </c>
    </row>
    <row r="547" spans="1:8">
      <c r="A547">
        <v>546</v>
      </c>
      <c r="B547">
        <v>17</v>
      </c>
      <c r="C547" t="s">
        <v>12</v>
      </c>
      <c r="D547" t="s">
        <v>23</v>
      </c>
      <c r="E547" t="s">
        <v>9</v>
      </c>
      <c r="F547" t="s">
        <v>10</v>
      </c>
      <c r="G547" t="s">
        <v>20</v>
      </c>
      <c r="H547">
        <v>677.64</v>
      </c>
    </row>
    <row r="548" spans="1:8">
      <c r="A548">
        <v>547</v>
      </c>
      <c r="B548">
        <v>10</v>
      </c>
      <c r="C548" t="s">
        <v>19</v>
      </c>
      <c r="D548" t="s">
        <v>27</v>
      </c>
      <c r="E548" t="s">
        <v>26</v>
      </c>
      <c r="F548" t="s">
        <v>21</v>
      </c>
      <c r="G548" t="s">
        <v>11</v>
      </c>
      <c r="H548">
        <v>684.16</v>
      </c>
    </row>
    <row r="549" spans="1:8">
      <c r="A549">
        <v>548</v>
      </c>
      <c r="B549">
        <v>90</v>
      </c>
      <c r="C549" t="s">
        <v>12</v>
      </c>
      <c r="D549" t="s">
        <v>118</v>
      </c>
      <c r="E549" t="s">
        <v>15</v>
      </c>
      <c r="F549" t="s">
        <v>18</v>
      </c>
      <c r="G549" t="s">
        <v>16</v>
      </c>
      <c r="H549">
        <v>536.37</v>
      </c>
    </row>
    <row r="550" spans="1:8">
      <c r="A550">
        <v>549</v>
      </c>
      <c r="B550">
        <v>8</v>
      </c>
      <c r="C550" t="s">
        <v>19</v>
      </c>
      <c r="D550" t="s">
        <v>37</v>
      </c>
      <c r="E550" t="s">
        <v>26</v>
      </c>
      <c r="F550" t="s">
        <v>10</v>
      </c>
      <c r="G550" t="s">
        <v>11</v>
      </c>
      <c r="H550">
        <v>47.22</v>
      </c>
    </row>
    <row r="551" spans="1:8">
      <c r="A551">
        <v>550</v>
      </c>
      <c r="B551">
        <v>27</v>
      </c>
      <c r="C551" t="s">
        <v>8</v>
      </c>
      <c r="D551" t="s">
        <v>102</v>
      </c>
      <c r="E551" t="s">
        <v>26</v>
      </c>
      <c r="F551" t="s">
        <v>10</v>
      </c>
      <c r="G551" t="s">
        <v>16</v>
      </c>
      <c r="H551">
        <v>704.44</v>
      </c>
    </row>
    <row r="552" spans="1:8">
      <c r="A552">
        <v>551</v>
      </c>
      <c r="B552">
        <v>87</v>
      </c>
      <c r="C552" t="s">
        <v>12</v>
      </c>
      <c r="D552" t="s">
        <v>109</v>
      </c>
      <c r="E552" t="s">
        <v>26</v>
      </c>
      <c r="F552" t="s">
        <v>10</v>
      </c>
      <c r="G552" t="s">
        <v>16</v>
      </c>
      <c r="H552">
        <v>512.02</v>
      </c>
    </row>
    <row r="553" spans="1:8">
      <c r="A553">
        <v>552</v>
      </c>
      <c r="B553">
        <v>93</v>
      </c>
      <c r="C553" t="s">
        <v>8</v>
      </c>
      <c r="D553" s="1">
        <v>45388</v>
      </c>
      <c r="E553" t="s">
        <v>9</v>
      </c>
      <c r="F553" t="s">
        <v>10</v>
      </c>
      <c r="G553" t="s">
        <v>16</v>
      </c>
      <c r="H553">
        <v>36.04</v>
      </c>
    </row>
    <row r="554" spans="1:8">
      <c r="A554">
        <v>553</v>
      </c>
      <c r="B554">
        <v>12</v>
      </c>
      <c r="C554" t="s">
        <v>12</v>
      </c>
      <c r="D554" s="1">
        <v>45566</v>
      </c>
      <c r="E554" t="s">
        <v>26</v>
      </c>
      <c r="F554" t="s">
        <v>18</v>
      </c>
      <c r="G554" t="s">
        <v>20</v>
      </c>
      <c r="H554">
        <v>811.65</v>
      </c>
    </row>
    <row r="555" spans="1:8">
      <c r="A555">
        <v>554</v>
      </c>
      <c r="B555">
        <v>30</v>
      </c>
      <c r="C555" t="s">
        <v>12</v>
      </c>
      <c r="D555" t="s">
        <v>97</v>
      </c>
      <c r="E555" t="s">
        <v>15</v>
      </c>
      <c r="F555" t="s">
        <v>18</v>
      </c>
      <c r="G555" t="s">
        <v>16</v>
      </c>
      <c r="H555">
        <v>900.37</v>
      </c>
    </row>
    <row r="556" spans="1:8">
      <c r="A556">
        <v>555</v>
      </c>
      <c r="B556">
        <v>4</v>
      </c>
      <c r="C556" t="s">
        <v>12</v>
      </c>
      <c r="D556" s="1">
        <v>45446</v>
      </c>
      <c r="E556" t="s">
        <v>9</v>
      </c>
      <c r="F556" t="s">
        <v>10</v>
      </c>
      <c r="G556" t="s">
        <v>16</v>
      </c>
      <c r="H556">
        <v>644.51</v>
      </c>
    </row>
    <row r="557" spans="1:8">
      <c r="A557">
        <v>556</v>
      </c>
      <c r="B557">
        <v>71</v>
      </c>
      <c r="C557" t="s">
        <v>12</v>
      </c>
      <c r="D557" s="1">
        <v>45598</v>
      </c>
      <c r="E557" t="s">
        <v>26</v>
      </c>
      <c r="F557" t="s">
        <v>10</v>
      </c>
      <c r="G557" t="s">
        <v>11</v>
      </c>
      <c r="H557">
        <v>355.85</v>
      </c>
    </row>
    <row r="558" spans="1:8">
      <c r="A558">
        <v>557</v>
      </c>
      <c r="B558">
        <v>97</v>
      </c>
      <c r="C558" t="s">
        <v>12</v>
      </c>
      <c r="D558" s="1">
        <v>45354</v>
      </c>
      <c r="E558" t="s">
        <v>15</v>
      </c>
      <c r="F558" t="s">
        <v>10</v>
      </c>
      <c r="G558" t="s">
        <v>20</v>
      </c>
      <c r="H558">
        <v>945.18</v>
      </c>
    </row>
    <row r="559" spans="1:8">
      <c r="A559">
        <v>558</v>
      </c>
      <c r="B559">
        <v>12</v>
      </c>
      <c r="C559" t="s">
        <v>8</v>
      </c>
      <c r="D559" t="s">
        <v>111</v>
      </c>
      <c r="E559" t="s">
        <v>15</v>
      </c>
      <c r="F559" t="s">
        <v>10</v>
      </c>
      <c r="G559" t="s">
        <v>11</v>
      </c>
      <c r="H559">
        <v>201.79</v>
      </c>
    </row>
    <row r="560" spans="1:8">
      <c r="A560">
        <v>559</v>
      </c>
      <c r="B560">
        <v>17</v>
      </c>
      <c r="C560" t="s">
        <v>19</v>
      </c>
      <c r="D560" t="s">
        <v>121</v>
      </c>
      <c r="E560" t="s">
        <v>15</v>
      </c>
      <c r="F560" t="s">
        <v>10</v>
      </c>
      <c r="G560" t="s">
        <v>20</v>
      </c>
      <c r="H560">
        <v>73</v>
      </c>
    </row>
    <row r="561" spans="1:8">
      <c r="A561">
        <v>560</v>
      </c>
      <c r="B561">
        <v>94</v>
      </c>
      <c r="C561" t="s">
        <v>19</v>
      </c>
      <c r="D561" s="1">
        <v>45536</v>
      </c>
      <c r="E561" t="s">
        <v>26</v>
      </c>
      <c r="F561" t="s">
        <v>21</v>
      </c>
      <c r="G561" t="s">
        <v>20</v>
      </c>
      <c r="H561">
        <v>769.57</v>
      </c>
    </row>
    <row r="562" spans="1:8">
      <c r="A562">
        <v>561</v>
      </c>
      <c r="B562">
        <v>45</v>
      </c>
      <c r="C562" t="s">
        <v>12</v>
      </c>
      <c r="D562" t="s">
        <v>58</v>
      </c>
      <c r="E562" t="s">
        <v>26</v>
      </c>
      <c r="F562" t="s">
        <v>21</v>
      </c>
      <c r="G562" t="s">
        <v>16</v>
      </c>
      <c r="H562">
        <v>930.11</v>
      </c>
    </row>
    <row r="563" spans="1:8">
      <c r="A563">
        <v>562</v>
      </c>
      <c r="B563">
        <v>72</v>
      </c>
      <c r="C563" t="s">
        <v>19</v>
      </c>
      <c r="D563" t="s">
        <v>23</v>
      </c>
      <c r="E563" t="s">
        <v>15</v>
      </c>
      <c r="F563" t="s">
        <v>21</v>
      </c>
      <c r="G563" t="s">
        <v>20</v>
      </c>
      <c r="H563">
        <v>554.98</v>
      </c>
    </row>
    <row r="564" spans="1:8">
      <c r="A564">
        <v>563</v>
      </c>
      <c r="B564">
        <v>56</v>
      </c>
      <c r="C564" t="s">
        <v>12</v>
      </c>
      <c r="D564" t="s">
        <v>107</v>
      </c>
      <c r="E564" t="s">
        <v>9</v>
      </c>
      <c r="F564" t="s">
        <v>10</v>
      </c>
      <c r="G564" t="s">
        <v>16</v>
      </c>
      <c r="H564">
        <v>826.59</v>
      </c>
    </row>
    <row r="565" spans="1:8">
      <c r="A565">
        <v>564</v>
      </c>
      <c r="B565">
        <v>93</v>
      </c>
      <c r="C565" t="s">
        <v>12</v>
      </c>
      <c r="D565" t="s">
        <v>52</v>
      </c>
      <c r="E565" t="s">
        <v>26</v>
      </c>
      <c r="F565" t="s">
        <v>18</v>
      </c>
      <c r="G565" t="s">
        <v>20</v>
      </c>
      <c r="H565">
        <v>362.82</v>
      </c>
    </row>
    <row r="566" spans="1:8">
      <c r="A566">
        <v>565</v>
      </c>
      <c r="B566">
        <v>58</v>
      </c>
      <c r="C566" t="s">
        <v>8</v>
      </c>
      <c r="D566" t="s">
        <v>23</v>
      </c>
      <c r="E566" t="s">
        <v>26</v>
      </c>
      <c r="F566" t="s">
        <v>10</v>
      </c>
      <c r="G566" t="s">
        <v>20</v>
      </c>
      <c r="H566">
        <v>946.8</v>
      </c>
    </row>
    <row r="567" spans="1:8">
      <c r="A567">
        <v>566</v>
      </c>
      <c r="B567">
        <v>96</v>
      </c>
      <c r="C567" t="s">
        <v>19</v>
      </c>
      <c r="D567" t="s">
        <v>64</v>
      </c>
      <c r="E567" t="s">
        <v>15</v>
      </c>
      <c r="F567" t="s">
        <v>10</v>
      </c>
      <c r="G567" t="s">
        <v>16</v>
      </c>
      <c r="H567">
        <v>192.28</v>
      </c>
    </row>
    <row r="568" spans="1:8">
      <c r="A568">
        <v>567</v>
      </c>
      <c r="B568">
        <v>38</v>
      </c>
      <c r="C568" t="s">
        <v>12</v>
      </c>
      <c r="D568" s="1">
        <v>45386</v>
      </c>
      <c r="E568" t="s">
        <v>15</v>
      </c>
      <c r="F568" t="s">
        <v>18</v>
      </c>
      <c r="G568" t="s">
        <v>16</v>
      </c>
      <c r="H568">
        <v>383.41</v>
      </c>
    </row>
    <row r="569" spans="1:8">
      <c r="A569">
        <v>568</v>
      </c>
      <c r="B569">
        <v>62</v>
      </c>
      <c r="C569" t="s">
        <v>8</v>
      </c>
      <c r="D569" t="s">
        <v>99</v>
      </c>
      <c r="E569" t="s">
        <v>26</v>
      </c>
      <c r="F569" t="s">
        <v>10</v>
      </c>
      <c r="G569" t="s">
        <v>16</v>
      </c>
      <c r="H569">
        <v>132.83000000000001</v>
      </c>
    </row>
    <row r="570" spans="1:8">
      <c r="A570">
        <v>569</v>
      </c>
      <c r="B570">
        <v>97</v>
      </c>
      <c r="C570" t="s">
        <v>12</v>
      </c>
      <c r="D570" t="s">
        <v>30</v>
      </c>
      <c r="E570" t="s">
        <v>9</v>
      </c>
      <c r="F570" t="s">
        <v>18</v>
      </c>
      <c r="G570" t="s">
        <v>16</v>
      </c>
      <c r="H570">
        <v>904.32</v>
      </c>
    </row>
    <row r="571" spans="1:8">
      <c r="A571">
        <v>570</v>
      </c>
      <c r="B571">
        <v>12</v>
      </c>
      <c r="C571" t="s">
        <v>19</v>
      </c>
      <c r="D571" t="s">
        <v>79</v>
      </c>
      <c r="E571" t="s">
        <v>15</v>
      </c>
      <c r="F571" t="s">
        <v>18</v>
      </c>
      <c r="G571" t="s">
        <v>11</v>
      </c>
      <c r="H571">
        <v>944.63</v>
      </c>
    </row>
    <row r="572" spans="1:8">
      <c r="A572">
        <v>571</v>
      </c>
      <c r="B572">
        <v>47</v>
      </c>
      <c r="C572" t="s">
        <v>12</v>
      </c>
      <c r="D572" t="s">
        <v>74</v>
      </c>
      <c r="E572" t="s">
        <v>26</v>
      </c>
      <c r="F572" t="s">
        <v>18</v>
      </c>
      <c r="G572" t="s">
        <v>20</v>
      </c>
      <c r="H572">
        <v>524.5</v>
      </c>
    </row>
    <row r="573" spans="1:8">
      <c r="A573">
        <v>572</v>
      </c>
      <c r="B573">
        <v>73</v>
      </c>
      <c r="C573" t="s">
        <v>8</v>
      </c>
      <c r="D573" t="s">
        <v>64</v>
      </c>
      <c r="E573" t="s">
        <v>15</v>
      </c>
      <c r="F573" t="s">
        <v>18</v>
      </c>
      <c r="G573" t="s">
        <v>11</v>
      </c>
      <c r="H573">
        <v>976.75</v>
      </c>
    </row>
    <row r="574" spans="1:8">
      <c r="A574">
        <v>573</v>
      </c>
      <c r="B574">
        <v>46</v>
      </c>
      <c r="C574" t="s">
        <v>19</v>
      </c>
      <c r="D574" t="s">
        <v>103</v>
      </c>
      <c r="E574" t="s">
        <v>15</v>
      </c>
      <c r="F574" t="s">
        <v>18</v>
      </c>
      <c r="G574" t="s">
        <v>11</v>
      </c>
      <c r="H574">
        <v>508.94</v>
      </c>
    </row>
    <row r="575" spans="1:8">
      <c r="A575">
        <v>574</v>
      </c>
      <c r="B575">
        <v>5</v>
      </c>
      <c r="C575" t="s">
        <v>12</v>
      </c>
      <c r="D575" t="s">
        <v>63</v>
      </c>
      <c r="E575" t="s">
        <v>9</v>
      </c>
      <c r="F575" t="s">
        <v>18</v>
      </c>
      <c r="G575" t="s">
        <v>11</v>
      </c>
      <c r="H575">
        <v>565.86</v>
      </c>
    </row>
    <row r="576" spans="1:8">
      <c r="A576">
        <v>575</v>
      </c>
      <c r="B576">
        <v>72</v>
      </c>
      <c r="C576" t="s">
        <v>12</v>
      </c>
      <c r="D576" s="1">
        <v>45476</v>
      </c>
      <c r="E576" t="s">
        <v>9</v>
      </c>
      <c r="F576" t="s">
        <v>10</v>
      </c>
      <c r="G576" t="s">
        <v>11</v>
      </c>
      <c r="H576">
        <v>151.62</v>
      </c>
    </row>
    <row r="577" spans="1:8">
      <c r="A577">
        <v>576</v>
      </c>
      <c r="B577">
        <v>99</v>
      </c>
      <c r="C577" t="s">
        <v>8</v>
      </c>
      <c r="D577" s="1">
        <v>45569</v>
      </c>
      <c r="E577" t="s">
        <v>26</v>
      </c>
      <c r="F577" t="s">
        <v>18</v>
      </c>
      <c r="G577" t="s">
        <v>16</v>
      </c>
      <c r="H577">
        <v>394.88</v>
      </c>
    </row>
    <row r="578" spans="1:8">
      <c r="A578">
        <v>577</v>
      </c>
      <c r="B578">
        <v>1</v>
      </c>
      <c r="C578" t="s">
        <v>12</v>
      </c>
      <c r="D578" t="s">
        <v>125</v>
      </c>
      <c r="E578" t="s">
        <v>26</v>
      </c>
      <c r="F578" t="s">
        <v>18</v>
      </c>
      <c r="G578" t="s">
        <v>11</v>
      </c>
      <c r="H578">
        <v>404.22</v>
      </c>
    </row>
    <row r="579" spans="1:8">
      <c r="A579">
        <v>578</v>
      </c>
      <c r="B579">
        <v>26</v>
      </c>
      <c r="C579" t="s">
        <v>8</v>
      </c>
      <c r="D579" s="1">
        <v>45541</v>
      </c>
      <c r="E579" t="s">
        <v>9</v>
      </c>
      <c r="F579" t="s">
        <v>10</v>
      </c>
      <c r="G579" t="s">
        <v>11</v>
      </c>
      <c r="H579">
        <v>564.82000000000005</v>
      </c>
    </row>
    <row r="580" spans="1:8">
      <c r="A580">
        <v>579</v>
      </c>
      <c r="B580">
        <v>100</v>
      </c>
      <c r="C580" t="s">
        <v>8</v>
      </c>
      <c r="D580" s="1">
        <v>45630</v>
      </c>
      <c r="E580" t="s">
        <v>15</v>
      </c>
      <c r="F580" t="s">
        <v>10</v>
      </c>
      <c r="G580" t="s">
        <v>20</v>
      </c>
      <c r="H580">
        <v>722.21</v>
      </c>
    </row>
    <row r="581" spans="1:8">
      <c r="A581">
        <v>580</v>
      </c>
      <c r="B581">
        <v>15</v>
      </c>
      <c r="C581" t="s">
        <v>8</v>
      </c>
      <c r="D581" s="1">
        <v>45385</v>
      </c>
      <c r="E581" t="s">
        <v>15</v>
      </c>
      <c r="F581" t="s">
        <v>21</v>
      </c>
      <c r="G581" t="s">
        <v>11</v>
      </c>
      <c r="H581">
        <v>16.05</v>
      </c>
    </row>
    <row r="582" spans="1:8">
      <c r="A582">
        <v>581</v>
      </c>
      <c r="B582">
        <v>9</v>
      </c>
      <c r="C582" t="s">
        <v>12</v>
      </c>
      <c r="D582" t="s">
        <v>28</v>
      </c>
      <c r="E582" t="s">
        <v>15</v>
      </c>
      <c r="F582" t="s">
        <v>21</v>
      </c>
      <c r="G582" t="s">
        <v>20</v>
      </c>
      <c r="H582">
        <v>666.31</v>
      </c>
    </row>
    <row r="583" spans="1:8">
      <c r="A583">
        <v>582</v>
      </c>
      <c r="B583">
        <v>80</v>
      </c>
      <c r="C583" t="s">
        <v>19</v>
      </c>
      <c r="D583" s="1">
        <v>45510</v>
      </c>
      <c r="E583" t="s">
        <v>9</v>
      </c>
      <c r="F583" t="s">
        <v>21</v>
      </c>
      <c r="G583" t="s">
        <v>16</v>
      </c>
      <c r="H583">
        <v>346.73</v>
      </c>
    </row>
    <row r="584" spans="1:8">
      <c r="A584">
        <v>583</v>
      </c>
      <c r="B584">
        <v>86</v>
      </c>
      <c r="C584" t="s">
        <v>8</v>
      </c>
      <c r="D584" t="s">
        <v>56</v>
      </c>
      <c r="E584" t="s">
        <v>15</v>
      </c>
      <c r="F584" t="s">
        <v>21</v>
      </c>
      <c r="G584" t="s">
        <v>16</v>
      </c>
      <c r="H584">
        <v>138.41999999999999</v>
      </c>
    </row>
    <row r="585" spans="1:8">
      <c r="A585">
        <v>584</v>
      </c>
      <c r="B585">
        <v>42</v>
      </c>
      <c r="C585" t="s">
        <v>8</v>
      </c>
      <c r="D585" t="s">
        <v>56</v>
      </c>
      <c r="E585" t="s">
        <v>9</v>
      </c>
      <c r="F585" t="s">
        <v>10</v>
      </c>
      <c r="G585" t="s">
        <v>11</v>
      </c>
      <c r="H585">
        <v>663.53</v>
      </c>
    </row>
    <row r="586" spans="1:8">
      <c r="A586">
        <v>585</v>
      </c>
      <c r="B586">
        <v>19</v>
      </c>
      <c r="C586" t="s">
        <v>8</v>
      </c>
      <c r="D586" s="1">
        <v>45297</v>
      </c>
      <c r="E586" t="s">
        <v>26</v>
      </c>
      <c r="F586" t="s">
        <v>18</v>
      </c>
      <c r="G586" t="s">
        <v>16</v>
      </c>
      <c r="H586">
        <v>150.78</v>
      </c>
    </row>
    <row r="587" spans="1:8">
      <c r="A587">
        <v>586</v>
      </c>
      <c r="B587">
        <v>97</v>
      </c>
      <c r="C587" t="s">
        <v>19</v>
      </c>
      <c r="D587" s="1">
        <v>45599</v>
      </c>
      <c r="E587" t="s">
        <v>26</v>
      </c>
      <c r="F587" t="s">
        <v>18</v>
      </c>
      <c r="G587" t="s">
        <v>16</v>
      </c>
      <c r="H587">
        <v>503.25</v>
      </c>
    </row>
    <row r="588" spans="1:8">
      <c r="A588">
        <v>587</v>
      </c>
      <c r="B588">
        <v>68</v>
      </c>
      <c r="C588" t="s">
        <v>8</v>
      </c>
      <c r="D588" s="1">
        <v>45353</v>
      </c>
      <c r="E588" t="s">
        <v>26</v>
      </c>
      <c r="F588" t="s">
        <v>21</v>
      </c>
      <c r="G588" t="s">
        <v>20</v>
      </c>
      <c r="H588">
        <v>576.57000000000005</v>
      </c>
    </row>
    <row r="589" spans="1:8">
      <c r="A589">
        <v>588</v>
      </c>
      <c r="B589">
        <v>40</v>
      </c>
      <c r="C589" t="s">
        <v>8</v>
      </c>
      <c r="D589" t="s">
        <v>121</v>
      </c>
      <c r="E589" t="s">
        <v>26</v>
      </c>
      <c r="F589" t="s">
        <v>21</v>
      </c>
      <c r="G589" t="s">
        <v>11</v>
      </c>
      <c r="H589">
        <v>204.6</v>
      </c>
    </row>
    <row r="590" spans="1:8">
      <c r="A590">
        <v>589</v>
      </c>
      <c r="B590">
        <v>8</v>
      </c>
      <c r="C590" t="s">
        <v>8</v>
      </c>
      <c r="D590" s="1">
        <v>45354</v>
      </c>
      <c r="E590" t="s">
        <v>15</v>
      </c>
      <c r="F590" t="s">
        <v>21</v>
      </c>
      <c r="G590" t="s">
        <v>11</v>
      </c>
      <c r="H590">
        <v>410.72</v>
      </c>
    </row>
    <row r="591" spans="1:8">
      <c r="A591">
        <v>590</v>
      </c>
      <c r="B591">
        <v>90</v>
      </c>
      <c r="C591" t="s">
        <v>8</v>
      </c>
      <c r="D591" t="s">
        <v>64</v>
      </c>
      <c r="E591" t="s">
        <v>9</v>
      </c>
      <c r="F591" t="s">
        <v>10</v>
      </c>
      <c r="G591" t="s">
        <v>20</v>
      </c>
      <c r="H591">
        <v>50.38</v>
      </c>
    </row>
    <row r="592" spans="1:8">
      <c r="A592">
        <v>591</v>
      </c>
      <c r="B592">
        <v>90</v>
      </c>
      <c r="C592" t="s">
        <v>12</v>
      </c>
      <c r="D592" s="1">
        <v>45537</v>
      </c>
      <c r="E592" t="s">
        <v>26</v>
      </c>
      <c r="F592" t="s">
        <v>21</v>
      </c>
      <c r="G592" t="s">
        <v>20</v>
      </c>
      <c r="H592">
        <v>400.31</v>
      </c>
    </row>
    <row r="593" spans="1:8">
      <c r="A593">
        <v>592</v>
      </c>
      <c r="B593">
        <v>7</v>
      </c>
      <c r="C593" t="s">
        <v>8</v>
      </c>
      <c r="D593" s="1">
        <v>45297</v>
      </c>
      <c r="E593" t="s">
        <v>15</v>
      </c>
      <c r="F593" t="s">
        <v>10</v>
      </c>
      <c r="G593" t="s">
        <v>16</v>
      </c>
      <c r="H593">
        <v>301.7</v>
      </c>
    </row>
    <row r="594" spans="1:8">
      <c r="A594">
        <v>593</v>
      </c>
      <c r="B594">
        <v>73</v>
      </c>
      <c r="C594" t="s">
        <v>12</v>
      </c>
      <c r="D594" t="s">
        <v>95</v>
      </c>
      <c r="E594" t="s">
        <v>26</v>
      </c>
      <c r="F594" t="s">
        <v>21</v>
      </c>
      <c r="G594" t="s">
        <v>11</v>
      </c>
      <c r="H594">
        <v>64.739999999999995</v>
      </c>
    </row>
    <row r="595" spans="1:8">
      <c r="A595">
        <v>594</v>
      </c>
      <c r="B595">
        <v>96</v>
      </c>
      <c r="C595" t="s">
        <v>19</v>
      </c>
      <c r="D595" t="s">
        <v>62</v>
      </c>
      <c r="E595" t="s">
        <v>26</v>
      </c>
      <c r="F595" t="s">
        <v>21</v>
      </c>
      <c r="G595" t="s">
        <v>16</v>
      </c>
      <c r="H595">
        <v>485.27</v>
      </c>
    </row>
    <row r="596" spans="1:8">
      <c r="A596">
        <v>595</v>
      </c>
      <c r="B596">
        <v>60</v>
      </c>
      <c r="C596" t="s">
        <v>19</v>
      </c>
      <c r="D596" t="s">
        <v>90</v>
      </c>
      <c r="E596" t="s">
        <v>26</v>
      </c>
      <c r="F596" t="s">
        <v>21</v>
      </c>
      <c r="G596" t="s">
        <v>16</v>
      </c>
      <c r="H596">
        <v>194.44</v>
      </c>
    </row>
    <row r="597" spans="1:8">
      <c r="A597">
        <v>596</v>
      </c>
      <c r="B597">
        <v>74</v>
      </c>
      <c r="C597" t="s">
        <v>8</v>
      </c>
      <c r="D597" t="s">
        <v>124</v>
      </c>
      <c r="E597" t="s">
        <v>15</v>
      </c>
      <c r="F597" t="s">
        <v>21</v>
      </c>
      <c r="G597" t="s">
        <v>16</v>
      </c>
      <c r="H597">
        <v>891.01</v>
      </c>
    </row>
    <row r="598" spans="1:8">
      <c r="A598">
        <v>597</v>
      </c>
      <c r="B598">
        <v>26</v>
      </c>
      <c r="C598" t="s">
        <v>19</v>
      </c>
      <c r="D598" t="s">
        <v>74</v>
      </c>
      <c r="E598" t="s">
        <v>15</v>
      </c>
      <c r="F598" t="s">
        <v>18</v>
      </c>
      <c r="G598" t="s">
        <v>16</v>
      </c>
      <c r="H598">
        <v>267.51</v>
      </c>
    </row>
    <row r="599" spans="1:8">
      <c r="A599">
        <v>598</v>
      </c>
      <c r="B599">
        <v>50</v>
      </c>
      <c r="C599" t="s">
        <v>12</v>
      </c>
      <c r="D599" s="1">
        <v>45510</v>
      </c>
      <c r="E599" t="s">
        <v>9</v>
      </c>
      <c r="F599" t="s">
        <v>18</v>
      </c>
      <c r="G599" t="s">
        <v>16</v>
      </c>
      <c r="H599">
        <v>151.43</v>
      </c>
    </row>
    <row r="600" spans="1:8">
      <c r="A600">
        <v>599</v>
      </c>
      <c r="B600">
        <v>36</v>
      </c>
      <c r="C600" t="s">
        <v>12</v>
      </c>
      <c r="D600" t="s">
        <v>84</v>
      </c>
      <c r="E600" t="s">
        <v>15</v>
      </c>
      <c r="F600" t="s">
        <v>18</v>
      </c>
      <c r="G600" t="s">
        <v>20</v>
      </c>
      <c r="H600">
        <v>297.76</v>
      </c>
    </row>
    <row r="601" spans="1:8">
      <c r="A601">
        <v>600</v>
      </c>
      <c r="B601">
        <v>46</v>
      </c>
      <c r="C601" t="s">
        <v>19</v>
      </c>
      <c r="D601" t="s">
        <v>125</v>
      </c>
      <c r="E601" t="s">
        <v>9</v>
      </c>
      <c r="F601" t="s">
        <v>18</v>
      </c>
      <c r="G601" t="s">
        <v>20</v>
      </c>
      <c r="H601">
        <v>663.35</v>
      </c>
    </row>
    <row r="602" spans="1:8">
      <c r="A602">
        <v>601</v>
      </c>
      <c r="B602">
        <v>46</v>
      </c>
      <c r="C602" t="s">
        <v>8</v>
      </c>
      <c r="D602" t="s">
        <v>46</v>
      </c>
      <c r="E602" t="s">
        <v>15</v>
      </c>
      <c r="F602" t="s">
        <v>21</v>
      </c>
      <c r="G602" t="s">
        <v>11</v>
      </c>
      <c r="H602">
        <v>927.75</v>
      </c>
    </row>
    <row r="603" spans="1:8">
      <c r="A603">
        <v>602</v>
      </c>
      <c r="B603">
        <v>74</v>
      </c>
      <c r="C603" t="s">
        <v>19</v>
      </c>
      <c r="D603" s="1">
        <v>45567</v>
      </c>
      <c r="E603" t="s">
        <v>26</v>
      </c>
      <c r="F603" t="s">
        <v>21</v>
      </c>
      <c r="G603" t="s">
        <v>11</v>
      </c>
      <c r="H603">
        <v>283.60000000000002</v>
      </c>
    </row>
    <row r="604" spans="1:8">
      <c r="A604">
        <v>603</v>
      </c>
      <c r="B604">
        <v>45</v>
      </c>
      <c r="C604" t="s">
        <v>8</v>
      </c>
      <c r="D604" t="s">
        <v>89</v>
      </c>
      <c r="E604" t="s">
        <v>26</v>
      </c>
      <c r="F604" t="s">
        <v>21</v>
      </c>
      <c r="G604" t="s">
        <v>20</v>
      </c>
      <c r="H604">
        <v>919.65</v>
      </c>
    </row>
    <row r="605" spans="1:8">
      <c r="A605">
        <v>604</v>
      </c>
      <c r="B605">
        <v>100</v>
      </c>
      <c r="C605" t="s">
        <v>12</v>
      </c>
      <c r="D605" t="s">
        <v>75</v>
      </c>
      <c r="E605" t="s">
        <v>26</v>
      </c>
      <c r="F605" t="s">
        <v>18</v>
      </c>
      <c r="G605" t="s">
        <v>11</v>
      </c>
      <c r="H605">
        <v>302.29000000000002</v>
      </c>
    </row>
    <row r="606" spans="1:8">
      <c r="A606">
        <v>605</v>
      </c>
      <c r="B606">
        <v>63</v>
      </c>
      <c r="C606" t="s">
        <v>12</v>
      </c>
      <c r="D606" t="s">
        <v>45</v>
      </c>
      <c r="E606" t="s">
        <v>26</v>
      </c>
      <c r="F606" t="s">
        <v>21</v>
      </c>
      <c r="G606" t="s">
        <v>16</v>
      </c>
      <c r="H606">
        <v>309.52999999999997</v>
      </c>
    </row>
    <row r="607" spans="1:8">
      <c r="A607">
        <v>606</v>
      </c>
      <c r="B607">
        <v>63</v>
      </c>
      <c r="C607" t="s">
        <v>8</v>
      </c>
      <c r="D607" t="s">
        <v>111</v>
      </c>
      <c r="E607" t="s">
        <v>26</v>
      </c>
      <c r="F607" t="s">
        <v>10</v>
      </c>
      <c r="G607" t="s">
        <v>20</v>
      </c>
      <c r="H607">
        <v>478.6</v>
      </c>
    </row>
    <row r="608" spans="1:8">
      <c r="A608">
        <v>607</v>
      </c>
      <c r="B608">
        <v>75</v>
      </c>
      <c r="C608" t="s">
        <v>19</v>
      </c>
      <c r="D608" t="s">
        <v>108</v>
      </c>
      <c r="E608" t="s">
        <v>9</v>
      </c>
      <c r="F608" t="s">
        <v>10</v>
      </c>
      <c r="G608" t="s">
        <v>11</v>
      </c>
      <c r="H608">
        <v>419.58</v>
      </c>
    </row>
    <row r="609" spans="1:8">
      <c r="A609">
        <v>608</v>
      </c>
      <c r="B609">
        <v>5</v>
      </c>
      <c r="C609" t="s">
        <v>19</v>
      </c>
      <c r="D609" t="s">
        <v>75</v>
      </c>
      <c r="E609" t="s">
        <v>26</v>
      </c>
      <c r="F609" t="s">
        <v>10</v>
      </c>
      <c r="G609" t="s">
        <v>16</v>
      </c>
      <c r="H609">
        <v>685.3</v>
      </c>
    </row>
    <row r="610" spans="1:8">
      <c r="A610">
        <v>609</v>
      </c>
      <c r="B610">
        <v>5</v>
      </c>
      <c r="C610" t="s">
        <v>8</v>
      </c>
      <c r="D610" s="1">
        <v>45448</v>
      </c>
      <c r="E610" t="s">
        <v>15</v>
      </c>
      <c r="F610" t="s">
        <v>18</v>
      </c>
      <c r="G610" t="s">
        <v>11</v>
      </c>
      <c r="H610">
        <v>390.64</v>
      </c>
    </row>
    <row r="611" spans="1:8">
      <c r="A611">
        <v>610</v>
      </c>
      <c r="B611">
        <v>81</v>
      </c>
      <c r="C611" t="s">
        <v>19</v>
      </c>
      <c r="D611" s="1">
        <v>45631</v>
      </c>
      <c r="E611" t="s">
        <v>15</v>
      </c>
      <c r="F611" t="s">
        <v>10</v>
      </c>
      <c r="G611" t="s">
        <v>20</v>
      </c>
      <c r="H611">
        <v>837.9</v>
      </c>
    </row>
    <row r="612" spans="1:8">
      <c r="A612">
        <v>611</v>
      </c>
      <c r="B612">
        <v>80</v>
      </c>
      <c r="C612" t="s">
        <v>12</v>
      </c>
      <c r="D612" t="s">
        <v>29</v>
      </c>
      <c r="E612" t="s">
        <v>15</v>
      </c>
      <c r="F612" t="s">
        <v>10</v>
      </c>
      <c r="G612" t="s">
        <v>20</v>
      </c>
      <c r="H612">
        <v>67.819999999999993</v>
      </c>
    </row>
    <row r="613" spans="1:8">
      <c r="A613">
        <v>612</v>
      </c>
      <c r="B613">
        <v>56</v>
      </c>
      <c r="C613" t="s">
        <v>8</v>
      </c>
      <c r="D613" t="s">
        <v>111</v>
      </c>
      <c r="E613" t="s">
        <v>15</v>
      </c>
      <c r="F613" t="s">
        <v>10</v>
      </c>
      <c r="G613" t="s">
        <v>20</v>
      </c>
      <c r="H613">
        <v>21.12</v>
      </c>
    </row>
    <row r="614" spans="1:8">
      <c r="A614">
        <v>613</v>
      </c>
      <c r="B614">
        <v>68</v>
      </c>
      <c r="C614" t="s">
        <v>8</v>
      </c>
      <c r="D614" s="1">
        <v>45505</v>
      </c>
      <c r="E614" t="s">
        <v>26</v>
      </c>
      <c r="F614" t="s">
        <v>21</v>
      </c>
      <c r="G614" t="s">
        <v>11</v>
      </c>
      <c r="H614">
        <v>700.72</v>
      </c>
    </row>
    <row r="615" spans="1:8">
      <c r="A615">
        <v>614</v>
      </c>
      <c r="B615">
        <v>67</v>
      </c>
      <c r="C615" t="s">
        <v>19</v>
      </c>
      <c r="D615" t="s">
        <v>123</v>
      </c>
      <c r="E615" t="s">
        <v>26</v>
      </c>
      <c r="F615" t="s">
        <v>18</v>
      </c>
      <c r="G615" t="s">
        <v>20</v>
      </c>
      <c r="H615">
        <v>893.3</v>
      </c>
    </row>
    <row r="616" spans="1:8">
      <c r="A616">
        <v>615</v>
      </c>
      <c r="B616">
        <v>53</v>
      </c>
      <c r="C616" t="s">
        <v>19</v>
      </c>
      <c r="D616" s="1">
        <v>45325</v>
      </c>
      <c r="E616" t="s">
        <v>26</v>
      </c>
      <c r="F616" t="s">
        <v>21</v>
      </c>
      <c r="G616" t="s">
        <v>16</v>
      </c>
      <c r="H616">
        <v>736.75</v>
      </c>
    </row>
    <row r="617" spans="1:8">
      <c r="A617">
        <v>616</v>
      </c>
      <c r="B617">
        <v>81</v>
      </c>
      <c r="C617" t="s">
        <v>12</v>
      </c>
      <c r="D617" s="1">
        <v>45538</v>
      </c>
      <c r="E617" t="s">
        <v>15</v>
      </c>
      <c r="F617" t="s">
        <v>18</v>
      </c>
      <c r="G617" t="s">
        <v>20</v>
      </c>
      <c r="H617">
        <v>803.54</v>
      </c>
    </row>
    <row r="618" spans="1:8">
      <c r="A618">
        <v>617</v>
      </c>
      <c r="B618">
        <v>47</v>
      </c>
      <c r="C618" t="s">
        <v>12</v>
      </c>
      <c r="D618" t="s">
        <v>44</v>
      </c>
      <c r="E618" t="s">
        <v>15</v>
      </c>
      <c r="F618" t="s">
        <v>21</v>
      </c>
      <c r="G618" t="s">
        <v>16</v>
      </c>
      <c r="H618">
        <v>21.17</v>
      </c>
    </row>
    <row r="619" spans="1:8">
      <c r="A619">
        <v>618</v>
      </c>
      <c r="B619">
        <v>92</v>
      </c>
      <c r="C619" t="s">
        <v>12</v>
      </c>
      <c r="D619" t="s">
        <v>87</v>
      </c>
      <c r="E619" t="s">
        <v>9</v>
      </c>
      <c r="F619" t="s">
        <v>10</v>
      </c>
      <c r="G619" t="s">
        <v>20</v>
      </c>
      <c r="H619">
        <v>678.59</v>
      </c>
    </row>
    <row r="620" spans="1:8">
      <c r="A620">
        <v>619</v>
      </c>
      <c r="B620">
        <v>87</v>
      </c>
      <c r="C620" t="s">
        <v>12</v>
      </c>
      <c r="D620" t="s">
        <v>52</v>
      </c>
      <c r="E620" t="s">
        <v>9</v>
      </c>
      <c r="F620" t="s">
        <v>21</v>
      </c>
      <c r="G620" t="s">
        <v>16</v>
      </c>
      <c r="H620">
        <v>220.01</v>
      </c>
    </row>
    <row r="621" spans="1:8">
      <c r="A621">
        <v>620</v>
      </c>
      <c r="B621">
        <v>51</v>
      </c>
      <c r="C621" t="s">
        <v>19</v>
      </c>
      <c r="D621" s="1">
        <v>45353</v>
      </c>
      <c r="E621" t="s">
        <v>15</v>
      </c>
      <c r="F621" t="s">
        <v>18</v>
      </c>
      <c r="G621" t="s">
        <v>20</v>
      </c>
      <c r="H621">
        <v>251.67</v>
      </c>
    </row>
    <row r="622" spans="1:8">
      <c r="A622">
        <v>621</v>
      </c>
      <c r="B622">
        <v>61</v>
      </c>
      <c r="C622" t="s">
        <v>8</v>
      </c>
      <c r="D622" s="1">
        <v>45569</v>
      </c>
      <c r="E622" t="s">
        <v>26</v>
      </c>
      <c r="F622" t="s">
        <v>18</v>
      </c>
      <c r="G622" t="s">
        <v>20</v>
      </c>
      <c r="H622">
        <v>808.85</v>
      </c>
    </row>
    <row r="623" spans="1:8">
      <c r="A623">
        <v>622</v>
      </c>
      <c r="B623">
        <v>87</v>
      </c>
      <c r="C623" t="s">
        <v>8</v>
      </c>
      <c r="D623" s="1">
        <v>45444</v>
      </c>
      <c r="E623" t="s">
        <v>15</v>
      </c>
      <c r="F623" t="s">
        <v>10</v>
      </c>
      <c r="G623" t="s">
        <v>20</v>
      </c>
      <c r="H623">
        <v>537.35</v>
      </c>
    </row>
    <row r="624" spans="1:8">
      <c r="A624">
        <v>623</v>
      </c>
      <c r="B624">
        <v>8</v>
      </c>
      <c r="C624" t="s">
        <v>19</v>
      </c>
      <c r="D624" s="1">
        <v>45447</v>
      </c>
      <c r="E624" t="s">
        <v>9</v>
      </c>
      <c r="F624" t="s">
        <v>21</v>
      </c>
      <c r="G624" t="s">
        <v>20</v>
      </c>
      <c r="H624">
        <v>178.3</v>
      </c>
    </row>
    <row r="625" spans="1:8">
      <c r="A625">
        <v>624</v>
      </c>
      <c r="B625">
        <v>56</v>
      </c>
      <c r="C625" t="s">
        <v>19</v>
      </c>
      <c r="D625" s="1">
        <v>45536</v>
      </c>
      <c r="E625" t="s">
        <v>15</v>
      </c>
      <c r="F625" t="s">
        <v>18</v>
      </c>
      <c r="G625" t="s">
        <v>11</v>
      </c>
      <c r="H625">
        <v>638.79999999999995</v>
      </c>
    </row>
    <row r="626" spans="1:8">
      <c r="A626">
        <v>625</v>
      </c>
      <c r="B626">
        <v>98</v>
      </c>
      <c r="C626" t="s">
        <v>12</v>
      </c>
      <c r="D626" t="s">
        <v>60</v>
      </c>
      <c r="E626" t="s">
        <v>15</v>
      </c>
      <c r="F626" t="s">
        <v>18</v>
      </c>
      <c r="G626" t="s">
        <v>16</v>
      </c>
      <c r="H626">
        <v>770.66</v>
      </c>
    </row>
    <row r="627" spans="1:8">
      <c r="A627">
        <v>626</v>
      </c>
      <c r="B627">
        <v>7</v>
      </c>
      <c r="C627" t="s">
        <v>8</v>
      </c>
      <c r="D627" t="s">
        <v>74</v>
      </c>
      <c r="E627" t="s">
        <v>9</v>
      </c>
      <c r="F627" t="s">
        <v>10</v>
      </c>
      <c r="G627" t="s">
        <v>11</v>
      </c>
      <c r="H627">
        <v>289.27</v>
      </c>
    </row>
    <row r="628" spans="1:8">
      <c r="A628">
        <v>627</v>
      </c>
      <c r="B628">
        <v>24</v>
      </c>
      <c r="C628" t="s">
        <v>8</v>
      </c>
      <c r="D628" t="s">
        <v>40</v>
      </c>
      <c r="E628" t="s">
        <v>9</v>
      </c>
      <c r="F628" t="s">
        <v>10</v>
      </c>
      <c r="G628" t="s">
        <v>16</v>
      </c>
      <c r="H628">
        <v>779.02</v>
      </c>
    </row>
    <row r="629" spans="1:8">
      <c r="A629">
        <v>628</v>
      </c>
      <c r="B629">
        <v>23</v>
      </c>
      <c r="C629" t="s">
        <v>8</v>
      </c>
      <c r="D629" s="1">
        <v>45383</v>
      </c>
      <c r="E629" t="s">
        <v>26</v>
      </c>
      <c r="F629" t="s">
        <v>21</v>
      </c>
      <c r="G629" t="s">
        <v>16</v>
      </c>
      <c r="H629">
        <v>704.06</v>
      </c>
    </row>
    <row r="630" spans="1:8">
      <c r="A630">
        <v>629</v>
      </c>
      <c r="B630">
        <v>43</v>
      </c>
      <c r="C630" t="s">
        <v>12</v>
      </c>
      <c r="D630" t="s">
        <v>53</v>
      </c>
      <c r="E630" t="s">
        <v>15</v>
      </c>
      <c r="F630" t="s">
        <v>18</v>
      </c>
      <c r="G630" t="s">
        <v>11</v>
      </c>
      <c r="H630">
        <v>546.41999999999996</v>
      </c>
    </row>
    <row r="631" spans="1:8">
      <c r="A631">
        <v>630</v>
      </c>
      <c r="B631">
        <v>95</v>
      </c>
      <c r="C631" t="s">
        <v>12</v>
      </c>
      <c r="D631" t="s">
        <v>95</v>
      </c>
      <c r="E631" t="s">
        <v>9</v>
      </c>
      <c r="F631" t="s">
        <v>21</v>
      </c>
      <c r="G631" t="s">
        <v>11</v>
      </c>
      <c r="H631">
        <v>780.89</v>
      </c>
    </row>
    <row r="632" spans="1:8">
      <c r="A632">
        <v>631</v>
      </c>
      <c r="B632">
        <v>13</v>
      </c>
      <c r="C632" t="s">
        <v>19</v>
      </c>
      <c r="D632" s="1">
        <v>45356</v>
      </c>
      <c r="E632" t="s">
        <v>26</v>
      </c>
      <c r="F632" t="s">
        <v>10</v>
      </c>
      <c r="G632" t="s">
        <v>20</v>
      </c>
      <c r="H632">
        <v>303.08</v>
      </c>
    </row>
    <row r="633" spans="1:8">
      <c r="A633">
        <v>632</v>
      </c>
      <c r="B633">
        <v>72</v>
      </c>
      <c r="C633" t="s">
        <v>8</v>
      </c>
      <c r="D633" s="1">
        <v>45387</v>
      </c>
      <c r="E633" t="s">
        <v>15</v>
      </c>
      <c r="F633" t="s">
        <v>10</v>
      </c>
      <c r="G633" t="s">
        <v>16</v>
      </c>
      <c r="H633">
        <v>557.57000000000005</v>
      </c>
    </row>
    <row r="634" spans="1:8">
      <c r="A634">
        <v>633</v>
      </c>
      <c r="B634">
        <v>28</v>
      </c>
      <c r="C634" t="s">
        <v>12</v>
      </c>
      <c r="D634" t="s">
        <v>97</v>
      </c>
      <c r="E634" t="s">
        <v>9</v>
      </c>
      <c r="F634" t="s">
        <v>10</v>
      </c>
      <c r="G634" t="s">
        <v>20</v>
      </c>
      <c r="H634">
        <v>222.11</v>
      </c>
    </row>
    <row r="635" spans="1:8">
      <c r="A635">
        <v>634</v>
      </c>
      <c r="B635">
        <v>94</v>
      </c>
      <c r="C635" t="s">
        <v>12</v>
      </c>
      <c r="D635" t="s">
        <v>22</v>
      </c>
      <c r="E635" t="s">
        <v>15</v>
      </c>
      <c r="F635" t="s">
        <v>10</v>
      </c>
      <c r="G635" t="s">
        <v>11</v>
      </c>
      <c r="H635">
        <v>575.47</v>
      </c>
    </row>
    <row r="636" spans="1:8">
      <c r="A636">
        <v>635</v>
      </c>
      <c r="B636">
        <v>60</v>
      </c>
      <c r="C636" t="s">
        <v>8</v>
      </c>
      <c r="D636" t="s">
        <v>112</v>
      </c>
      <c r="E636" t="s">
        <v>9</v>
      </c>
      <c r="F636" t="s">
        <v>10</v>
      </c>
      <c r="G636" t="s">
        <v>16</v>
      </c>
      <c r="H636">
        <v>478.44</v>
      </c>
    </row>
    <row r="637" spans="1:8">
      <c r="A637">
        <v>636</v>
      </c>
      <c r="B637">
        <v>17</v>
      </c>
      <c r="C637" t="s">
        <v>12</v>
      </c>
      <c r="D637" s="1">
        <v>45414</v>
      </c>
      <c r="E637" t="s">
        <v>26</v>
      </c>
      <c r="F637" t="s">
        <v>21</v>
      </c>
      <c r="G637" t="s">
        <v>11</v>
      </c>
      <c r="H637">
        <v>32.619999999999997</v>
      </c>
    </row>
    <row r="638" spans="1:8">
      <c r="A638">
        <v>637</v>
      </c>
      <c r="B638">
        <v>21</v>
      </c>
      <c r="C638" t="s">
        <v>12</v>
      </c>
      <c r="D638" t="s">
        <v>85</v>
      </c>
      <c r="E638" t="s">
        <v>9</v>
      </c>
      <c r="F638" t="s">
        <v>18</v>
      </c>
      <c r="G638" t="s">
        <v>16</v>
      </c>
      <c r="H638">
        <v>121.29</v>
      </c>
    </row>
    <row r="639" spans="1:8">
      <c r="A639">
        <v>638</v>
      </c>
      <c r="B639">
        <v>89</v>
      </c>
      <c r="C639" t="s">
        <v>19</v>
      </c>
      <c r="D639" s="1">
        <v>45477</v>
      </c>
      <c r="E639" t="s">
        <v>9</v>
      </c>
      <c r="F639" t="s">
        <v>21</v>
      </c>
      <c r="G639" t="s">
        <v>16</v>
      </c>
      <c r="H639">
        <v>967.29</v>
      </c>
    </row>
    <row r="640" spans="1:8">
      <c r="A640">
        <v>639</v>
      </c>
      <c r="B640">
        <v>43</v>
      </c>
      <c r="C640" t="s">
        <v>19</v>
      </c>
      <c r="D640" t="s">
        <v>86</v>
      </c>
      <c r="E640" t="s">
        <v>26</v>
      </c>
      <c r="F640" t="s">
        <v>21</v>
      </c>
      <c r="G640" t="s">
        <v>11</v>
      </c>
      <c r="H640">
        <v>200.29</v>
      </c>
    </row>
    <row r="641" spans="1:8">
      <c r="A641">
        <v>640</v>
      </c>
      <c r="B641">
        <v>5</v>
      </c>
      <c r="C641" t="s">
        <v>19</v>
      </c>
      <c r="D641" t="s">
        <v>90</v>
      </c>
      <c r="E641" t="s">
        <v>15</v>
      </c>
      <c r="F641" t="s">
        <v>10</v>
      </c>
      <c r="G641" t="s">
        <v>16</v>
      </c>
      <c r="H641">
        <v>185</v>
      </c>
    </row>
    <row r="642" spans="1:8">
      <c r="A642">
        <v>641</v>
      </c>
      <c r="B642">
        <v>7</v>
      </c>
      <c r="C642" t="s">
        <v>12</v>
      </c>
      <c r="D642" t="s">
        <v>83</v>
      </c>
      <c r="E642" t="s">
        <v>15</v>
      </c>
      <c r="F642" t="s">
        <v>21</v>
      </c>
      <c r="G642" t="s">
        <v>20</v>
      </c>
      <c r="H642">
        <v>959.61</v>
      </c>
    </row>
    <row r="643" spans="1:8">
      <c r="A643">
        <v>642</v>
      </c>
      <c r="B643">
        <v>28</v>
      </c>
      <c r="C643" t="s">
        <v>8</v>
      </c>
      <c r="D643" t="s">
        <v>24</v>
      </c>
      <c r="E643" t="s">
        <v>9</v>
      </c>
      <c r="F643" t="s">
        <v>18</v>
      </c>
      <c r="G643" t="s">
        <v>11</v>
      </c>
      <c r="H643">
        <v>170.66</v>
      </c>
    </row>
    <row r="644" spans="1:8">
      <c r="A644">
        <v>643</v>
      </c>
      <c r="B644">
        <v>27</v>
      </c>
      <c r="C644" t="s">
        <v>19</v>
      </c>
      <c r="D644" t="s">
        <v>126</v>
      </c>
      <c r="E644" t="s">
        <v>9</v>
      </c>
      <c r="F644" t="s">
        <v>10</v>
      </c>
      <c r="G644" t="s">
        <v>11</v>
      </c>
      <c r="H644">
        <v>563.94000000000005</v>
      </c>
    </row>
    <row r="645" spans="1:8">
      <c r="A645">
        <v>644</v>
      </c>
      <c r="B645">
        <v>58</v>
      </c>
      <c r="C645" t="s">
        <v>19</v>
      </c>
      <c r="D645" s="1">
        <v>45510</v>
      </c>
      <c r="E645" t="s">
        <v>15</v>
      </c>
      <c r="F645" t="s">
        <v>10</v>
      </c>
      <c r="G645" t="s">
        <v>16</v>
      </c>
      <c r="H645">
        <v>52.03</v>
      </c>
    </row>
    <row r="646" spans="1:8">
      <c r="A646">
        <v>645</v>
      </c>
      <c r="B646">
        <v>33</v>
      </c>
      <c r="C646" t="s">
        <v>12</v>
      </c>
      <c r="D646" s="1">
        <v>45479</v>
      </c>
      <c r="E646" t="s">
        <v>9</v>
      </c>
      <c r="F646" t="s">
        <v>18</v>
      </c>
      <c r="G646" t="s">
        <v>16</v>
      </c>
      <c r="H646">
        <v>474.62</v>
      </c>
    </row>
    <row r="647" spans="1:8">
      <c r="A647">
        <v>646</v>
      </c>
      <c r="B647">
        <v>20</v>
      </c>
      <c r="C647" t="s">
        <v>8</v>
      </c>
      <c r="D647" t="s">
        <v>62</v>
      </c>
      <c r="E647" t="s">
        <v>26</v>
      </c>
      <c r="F647" t="s">
        <v>21</v>
      </c>
      <c r="G647" t="s">
        <v>11</v>
      </c>
      <c r="H647">
        <v>263.76</v>
      </c>
    </row>
    <row r="648" spans="1:8">
      <c r="A648">
        <v>647</v>
      </c>
      <c r="B648">
        <v>11</v>
      </c>
      <c r="C648" t="s">
        <v>19</v>
      </c>
      <c r="D648" s="1">
        <v>45356</v>
      </c>
      <c r="E648" t="s">
        <v>9</v>
      </c>
      <c r="F648" t="s">
        <v>21</v>
      </c>
      <c r="G648" t="s">
        <v>16</v>
      </c>
      <c r="H648">
        <v>758.91</v>
      </c>
    </row>
    <row r="649" spans="1:8">
      <c r="A649">
        <v>648</v>
      </c>
      <c r="B649">
        <v>31</v>
      </c>
      <c r="C649" t="s">
        <v>19</v>
      </c>
      <c r="D649" s="1">
        <v>45536</v>
      </c>
      <c r="E649" t="s">
        <v>9</v>
      </c>
      <c r="F649" t="s">
        <v>18</v>
      </c>
      <c r="G649" t="s">
        <v>11</v>
      </c>
      <c r="H649">
        <v>59.04</v>
      </c>
    </row>
    <row r="650" spans="1:8">
      <c r="A650">
        <v>649</v>
      </c>
      <c r="B650">
        <v>76</v>
      </c>
      <c r="C650" t="s">
        <v>19</v>
      </c>
      <c r="D650" s="1">
        <v>45597</v>
      </c>
      <c r="E650" t="s">
        <v>15</v>
      </c>
      <c r="F650" t="s">
        <v>21</v>
      </c>
      <c r="G650" t="s">
        <v>11</v>
      </c>
      <c r="H650">
        <v>647.01</v>
      </c>
    </row>
    <row r="651" spans="1:8">
      <c r="A651">
        <v>650</v>
      </c>
      <c r="B651">
        <v>32</v>
      </c>
      <c r="C651" t="s">
        <v>19</v>
      </c>
      <c r="D651" t="s">
        <v>31</v>
      </c>
      <c r="E651" t="s">
        <v>15</v>
      </c>
      <c r="F651" t="s">
        <v>21</v>
      </c>
      <c r="G651" t="s">
        <v>20</v>
      </c>
      <c r="H651">
        <v>451.58</v>
      </c>
    </row>
    <row r="652" spans="1:8">
      <c r="A652">
        <v>651</v>
      </c>
      <c r="B652">
        <v>34</v>
      </c>
      <c r="C652" t="s">
        <v>8</v>
      </c>
      <c r="D652" s="1">
        <v>45537</v>
      </c>
      <c r="E652" t="s">
        <v>15</v>
      </c>
      <c r="F652" t="s">
        <v>10</v>
      </c>
      <c r="G652" t="s">
        <v>20</v>
      </c>
      <c r="H652">
        <v>221.25</v>
      </c>
    </row>
    <row r="653" spans="1:8">
      <c r="A653">
        <v>652</v>
      </c>
      <c r="B653">
        <v>66</v>
      </c>
      <c r="C653" t="s">
        <v>19</v>
      </c>
      <c r="D653" t="s">
        <v>74</v>
      </c>
      <c r="E653" t="s">
        <v>9</v>
      </c>
      <c r="F653" t="s">
        <v>18</v>
      </c>
      <c r="G653" t="s">
        <v>20</v>
      </c>
      <c r="H653">
        <v>194.9</v>
      </c>
    </row>
    <row r="654" spans="1:8">
      <c r="A654">
        <v>653</v>
      </c>
      <c r="B654">
        <v>62</v>
      </c>
      <c r="C654" t="s">
        <v>12</v>
      </c>
      <c r="D654" t="s">
        <v>87</v>
      </c>
      <c r="E654" t="s">
        <v>26</v>
      </c>
      <c r="F654" t="s">
        <v>10</v>
      </c>
      <c r="G654" t="s">
        <v>16</v>
      </c>
      <c r="H654">
        <v>433.75</v>
      </c>
    </row>
    <row r="655" spans="1:8">
      <c r="A655">
        <v>654</v>
      </c>
      <c r="B655">
        <v>86</v>
      </c>
      <c r="C655" t="s">
        <v>19</v>
      </c>
      <c r="D655" t="s">
        <v>41</v>
      </c>
      <c r="E655" t="s">
        <v>26</v>
      </c>
      <c r="F655" t="s">
        <v>18</v>
      </c>
      <c r="G655" t="s">
        <v>16</v>
      </c>
      <c r="H655">
        <v>264.85000000000002</v>
      </c>
    </row>
    <row r="656" spans="1:8">
      <c r="A656">
        <v>655</v>
      </c>
      <c r="B656">
        <v>91</v>
      </c>
      <c r="C656" t="s">
        <v>19</v>
      </c>
      <c r="D656" t="s">
        <v>122</v>
      </c>
      <c r="E656" t="s">
        <v>26</v>
      </c>
      <c r="F656" t="s">
        <v>21</v>
      </c>
      <c r="G656" t="s">
        <v>16</v>
      </c>
      <c r="H656">
        <v>230.68</v>
      </c>
    </row>
    <row r="657" spans="1:8">
      <c r="A657">
        <v>656</v>
      </c>
      <c r="B657">
        <v>63</v>
      </c>
      <c r="C657" t="s">
        <v>19</v>
      </c>
      <c r="D657" t="s">
        <v>90</v>
      </c>
      <c r="E657" t="s">
        <v>26</v>
      </c>
      <c r="F657" t="s">
        <v>10</v>
      </c>
      <c r="G657" t="s">
        <v>11</v>
      </c>
      <c r="H657">
        <v>836.11</v>
      </c>
    </row>
    <row r="658" spans="1:8">
      <c r="A658">
        <v>657</v>
      </c>
      <c r="B658">
        <v>73</v>
      </c>
      <c r="C658" t="s">
        <v>8</v>
      </c>
      <c r="D658" t="s">
        <v>58</v>
      </c>
      <c r="E658" t="s">
        <v>26</v>
      </c>
      <c r="F658" t="s">
        <v>18</v>
      </c>
      <c r="G658" t="s">
        <v>20</v>
      </c>
      <c r="H658">
        <v>703.94</v>
      </c>
    </row>
    <row r="659" spans="1:8">
      <c r="A659">
        <v>658</v>
      </c>
      <c r="B659">
        <v>94</v>
      </c>
      <c r="C659" t="s">
        <v>8</v>
      </c>
      <c r="D659" s="1">
        <v>45541</v>
      </c>
      <c r="E659" t="s">
        <v>26</v>
      </c>
      <c r="F659" t="s">
        <v>21</v>
      </c>
      <c r="G659" t="s">
        <v>11</v>
      </c>
      <c r="H659">
        <v>814.84</v>
      </c>
    </row>
    <row r="660" spans="1:8">
      <c r="A660">
        <v>659</v>
      </c>
      <c r="B660">
        <v>88</v>
      </c>
      <c r="C660" t="s">
        <v>8</v>
      </c>
      <c r="D660" t="s">
        <v>51</v>
      </c>
      <c r="E660" t="s">
        <v>9</v>
      </c>
      <c r="F660" t="s">
        <v>10</v>
      </c>
      <c r="G660" t="s">
        <v>11</v>
      </c>
      <c r="H660">
        <v>153.25</v>
      </c>
    </row>
    <row r="661" spans="1:8">
      <c r="A661">
        <v>660</v>
      </c>
      <c r="B661">
        <v>12</v>
      </c>
      <c r="C661" t="s">
        <v>12</v>
      </c>
      <c r="D661" t="s">
        <v>17</v>
      </c>
      <c r="E661" t="s">
        <v>15</v>
      </c>
      <c r="F661" t="s">
        <v>10</v>
      </c>
      <c r="G661" t="s">
        <v>11</v>
      </c>
      <c r="H661">
        <v>324.08999999999997</v>
      </c>
    </row>
    <row r="662" spans="1:8">
      <c r="A662">
        <v>661</v>
      </c>
      <c r="B662">
        <v>48</v>
      </c>
      <c r="C662" t="s">
        <v>8</v>
      </c>
      <c r="D662" s="1">
        <v>45445</v>
      </c>
      <c r="E662" t="s">
        <v>9</v>
      </c>
      <c r="F662" t="s">
        <v>21</v>
      </c>
      <c r="G662" t="s">
        <v>11</v>
      </c>
      <c r="H662">
        <v>436.9</v>
      </c>
    </row>
    <row r="663" spans="1:8">
      <c r="A663">
        <v>662</v>
      </c>
      <c r="B663">
        <v>35</v>
      </c>
      <c r="C663" t="s">
        <v>19</v>
      </c>
      <c r="D663" t="s">
        <v>126</v>
      </c>
      <c r="E663" t="s">
        <v>26</v>
      </c>
      <c r="F663" t="s">
        <v>10</v>
      </c>
      <c r="G663" t="s">
        <v>20</v>
      </c>
      <c r="H663">
        <v>917.26</v>
      </c>
    </row>
    <row r="664" spans="1:8">
      <c r="A664">
        <v>663</v>
      </c>
      <c r="B664">
        <v>25</v>
      </c>
      <c r="C664" t="s">
        <v>19</v>
      </c>
      <c r="D664" t="s">
        <v>36</v>
      </c>
      <c r="E664" t="s">
        <v>9</v>
      </c>
      <c r="F664" t="s">
        <v>18</v>
      </c>
      <c r="G664" t="s">
        <v>16</v>
      </c>
      <c r="H664">
        <v>45.26</v>
      </c>
    </row>
    <row r="665" spans="1:8">
      <c r="A665">
        <v>664</v>
      </c>
      <c r="B665">
        <v>47</v>
      </c>
      <c r="C665" t="s">
        <v>12</v>
      </c>
      <c r="D665" t="s">
        <v>24</v>
      </c>
      <c r="E665" t="s">
        <v>26</v>
      </c>
      <c r="F665" t="s">
        <v>18</v>
      </c>
      <c r="G665" t="s">
        <v>11</v>
      </c>
      <c r="H665">
        <v>416.2</v>
      </c>
    </row>
    <row r="666" spans="1:8">
      <c r="A666">
        <v>665</v>
      </c>
      <c r="B666">
        <v>55</v>
      </c>
      <c r="C666" t="s">
        <v>12</v>
      </c>
      <c r="D666" t="s">
        <v>66</v>
      </c>
      <c r="E666" t="s">
        <v>9</v>
      </c>
      <c r="F666" t="s">
        <v>10</v>
      </c>
      <c r="G666" t="s">
        <v>20</v>
      </c>
      <c r="H666">
        <v>246.83</v>
      </c>
    </row>
    <row r="667" spans="1:8">
      <c r="A667">
        <v>666</v>
      </c>
      <c r="B667">
        <v>45</v>
      </c>
      <c r="C667" t="s">
        <v>8</v>
      </c>
      <c r="D667" s="1">
        <v>45352</v>
      </c>
      <c r="E667" t="s">
        <v>9</v>
      </c>
      <c r="F667" t="s">
        <v>18</v>
      </c>
      <c r="G667" t="s">
        <v>11</v>
      </c>
      <c r="H667">
        <v>824.28</v>
      </c>
    </row>
    <row r="668" spans="1:8">
      <c r="A668">
        <v>667</v>
      </c>
      <c r="B668">
        <v>12</v>
      </c>
      <c r="C668" t="s">
        <v>19</v>
      </c>
      <c r="D668" s="1">
        <v>45328</v>
      </c>
      <c r="E668" t="s">
        <v>26</v>
      </c>
      <c r="F668" t="s">
        <v>10</v>
      </c>
      <c r="G668" t="s">
        <v>11</v>
      </c>
      <c r="H668">
        <v>680.74</v>
      </c>
    </row>
    <row r="669" spans="1:8">
      <c r="A669">
        <v>668</v>
      </c>
      <c r="B669">
        <v>33</v>
      </c>
      <c r="C669" t="s">
        <v>8</v>
      </c>
      <c r="D669" t="s">
        <v>121</v>
      </c>
      <c r="E669" t="s">
        <v>26</v>
      </c>
      <c r="F669" t="s">
        <v>18</v>
      </c>
      <c r="G669" t="s">
        <v>16</v>
      </c>
      <c r="H669">
        <v>376.62</v>
      </c>
    </row>
    <row r="670" spans="1:8">
      <c r="A670">
        <v>669</v>
      </c>
      <c r="B670">
        <v>3</v>
      </c>
      <c r="C670" t="s">
        <v>12</v>
      </c>
      <c r="D670" s="1">
        <v>45566</v>
      </c>
      <c r="E670" t="s">
        <v>26</v>
      </c>
      <c r="F670" t="s">
        <v>21</v>
      </c>
      <c r="G670" t="s">
        <v>20</v>
      </c>
      <c r="H670">
        <v>400.79</v>
      </c>
    </row>
    <row r="671" spans="1:8">
      <c r="A671">
        <v>670</v>
      </c>
      <c r="B671">
        <v>15</v>
      </c>
      <c r="C671" t="s">
        <v>8</v>
      </c>
      <c r="D671" t="s">
        <v>34</v>
      </c>
      <c r="E671" t="s">
        <v>9</v>
      </c>
      <c r="F671" t="s">
        <v>18</v>
      </c>
      <c r="G671" t="s">
        <v>11</v>
      </c>
      <c r="H671">
        <v>496.72</v>
      </c>
    </row>
    <row r="672" spans="1:8">
      <c r="A672">
        <v>671</v>
      </c>
      <c r="B672">
        <v>45</v>
      </c>
      <c r="C672" t="s">
        <v>8</v>
      </c>
      <c r="D672" t="s">
        <v>125</v>
      </c>
      <c r="E672" t="s">
        <v>9</v>
      </c>
      <c r="F672" t="s">
        <v>21</v>
      </c>
      <c r="G672" t="s">
        <v>20</v>
      </c>
      <c r="H672">
        <v>369.13</v>
      </c>
    </row>
    <row r="673" spans="1:8">
      <c r="A673">
        <v>672</v>
      </c>
      <c r="B673">
        <v>16</v>
      </c>
      <c r="C673" t="s">
        <v>12</v>
      </c>
      <c r="D673" t="s">
        <v>50</v>
      </c>
      <c r="E673" t="s">
        <v>15</v>
      </c>
      <c r="F673" t="s">
        <v>21</v>
      </c>
      <c r="G673" t="s">
        <v>16</v>
      </c>
      <c r="H673">
        <v>916.45</v>
      </c>
    </row>
    <row r="674" spans="1:8">
      <c r="A674">
        <v>673</v>
      </c>
      <c r="B674">
        <v>63</v>
      </c>
      <c r="C674" t="s">
        <v>12</v>
      </c>
      <c r="D674" s="1">
        <v>45296</v>
      </c>
      <c r="E674" t="s">
        <v>15</v>
      </c>
      <c r="F674" t="s">
        <v>10</v>
      </c>
      <c r="G674" t="s">
        <v>11</v>
      </c>
      <c r="H674">
        <v>152.08000000000001</v>
      </c>
    </row>
    <row r="675" spans="1:8">
      <c r="A675">
        <v>674</v>
      </c>
      <c r="B675">
        <v>63</v>
      </c>
      <c r="C675" t="s">
        <v>8</v>
      </c>
      <c r="D675" s="1">
        <v>45444</v>
      </c>
      <c r="E675" t="s">
        <v>26</v>
      </c>
      <c r="F675" t="s">
        <v>21</v>
      </c>
      <c r="G675" t="s">
        <v>11</v>
      </c>
      <c r="H675">
        <v>373.52</v>
      </c>
    </row>
    <row r="676" spans="1:8">
      <c r="A676">
        <v>675</v>
      </c>
      <c r="B676">
        <v>96</v>
      </c>
      <c r="C676" t="s">
        <v>19</v>
      </c>
      <c r="D676" s="1">
        <v>45631</v>
      </c>
      <c r="E676" t="s">
        <v>26</v>
      </c>
      <c r="F676" t="s">
        <v>18</v>
      </c>
      <c r="G676" t="s">
        <v>11</v>
      </c>
      <c r="H676">
        <v>345.64</v>
      </c>
    </row>
    <row r="677" spans="1:8">
      <c r="A677">
        <v>676</v>
      </c>
      <c r="B677">
        <v>4</v>
      </c>
      <c r="C677" t="s">
        <v>19</v>
      </c>
      <c r="D677" s="1">
        <v>45447</v>
      </c>
      <c r="E677" t="s">
        <v>15</v>
      </c>
      <c r="F677" t="s">
        <v>18</v>
      </c>
      <c r="G677" t="s">
        <v>11</v>
      </c>
      <c r="H677">
        <v>33.950000000000003</v>
      </c>
    </row>
    <row r="678" spans="1:8">
      <c r="A678">
        <v>677</v>
      </c>
      <c r="B678">
        <v>2</v>
      </c>
      <c r="C678" t="s">
        <v>8</v>
      </c>
      <c r="D678" s="1">
        <v>45383</v>
      </c>
      <c r="E678" t="s">
        <v>9</v>
      </c>
      <c r="F678" t="s">
        <v>18</v>
      </c>
      <c r="G678" t="s">
        <v>11</v>
      </c>
      <c r="H678">
        <v>478.44</v>
      </c>
    </row>
    <row r="679" spans="1:8">
      <c r="A679">
        <v>678</v>
      </c>
      <c r="B679">
        <v>19</v>
      </c>
      <c r="C679" t="s">
        <v>12</v>
      </c>
      <c r="D679" t="s">
        <v>72</v>
      </c>
      <c r="E679" t="s">
        <v>9</v>
      </c>
      <c r="F679" t="s">
        <v>18</v>
      </c>
      <c r="G679" t="s">
        <v>20</v>
      </c>
      <c r="H679">
        <v>884.03</v>
      </c>
    </row>
    <row r="680" spans="1:8">
      <c r="A680">
        <v>679</v>
      </c>
      <c r="B680">
        <v>61</v>
      </c>
      <c r="C680" t="s">
        <v>8</v>
      </c>
      <c r="D680" t="s">
        <v>105</v>
      </c>
      <c r="E680" t="s">
        <v>15</v>
      </c>
      <c r="F680" t="s">
        <v>18</v>
      </c>
      <c r="G680" t="s">
        <v>11</v>
      </c>
      <c r="H680">
        <v>113.64</v>
      </c>
    </row>
    <row r="681" spans="1:8">
      <c r="A681">
        <v>680</v>
      </c>
      <c r="B681">
        <v>5</v>
      </c>
      <c r="C681" t="s">
        <v>8</v>
      </c>
      <c r="D681" t="s">
        <v>51</v>
      </c>
      <c r="E681" t="s">
        <v>9</v>
      </c>
      <c r="F681" t="s">
        <v>21</v>
      </c>
      <c r="G681" t="s">
        <v>11</v>
      </c>
      <c r="H681">
        <v>479.38</v>
      </c>
    </row>
    <row r="682" spans="1:8">
      <c r="A682">
        <v>681</v>
      </c>
      <c r="B682">
        <v>8</v>
      </c>
      <c r="C682" t="s">
        <v>8</v>
      </c>
      <c r="D682" t="s">
        <v>77</v>
      </c>
      <c r="E682" t="s">
        <v>15</v>
      </c>
      <c r="F682" t="s">
        <v>18</v>
      </c>
      <c r="G682" t="s">
        <v>11</v>
      </c>
      <c r="H682">
        <v>395.56</v>
      </c>
    </row>
    <row r="683" spans="1:8">
      <c r="A683">
        <v>682</v>
      </c>
      <c r="B683">
        <v>6</v>
      </c>
      <c r="C683" t="s">
        <v>8</v>
      </c>
      <c r="D683" t="s">
        <v>36</v>
      </c>
      <c r="E683" t="s">
        <v>9</v>
      </c>
      <c r="F683" t="s">
        <v>21</v>
      </c>
      <c r="G683" t="s">
        <v>20</v>
      </c>
      <c r="H683">
        <v>290.66000000000003</v>
      </c>
    </row>
    <row r="684" spans="1:8">
      <c r="A684">
        <v>683</v>
      </c>
      <c r="B684">
        <v>18</v>
      </c>
      <c r="C684" t="s">
        <v>19</v>
      </c>
      <c r="D684" t="s">
        <v>27</v>
      </c>
      <c r="E684" t="s">
        <v>9</v>
      </c>
      <c r="F684" t="s">
        <v>10</v>
      </c>
      <c r="G684" t="s">
        <v>11</v>
      </c>
      <c r="H684">
        <v>309.32</v>
      </c>
    </row>
    <row r="685" spans="1:8">
      <c r="A685">
        <v>684</v>
      </c>
      <c r="B685">
        <v>33</v>
      </c>
      <c r="C685" t="s">
        <v>8</v>
      </c>
      <c r="D685" t="s">
        <v>122</v>
      </c>
      <c r="E685" t="s">
        <v>9</v>
      </c>
      <c r="F685" t="s">
        <v>21</v>
      </c>
      <c r="G685" t="s">
        <v>20</v>
      </c>
      <c r="H685">
        <v>28.05</v>
      </c>
    </row>
    <row r="686" spans="1:8">
      <c r="A686">
        <v>685</v>
      </c>
      <c r="B686">
        <v>40</v>
      </c>
      <c r="C686" t="s">
        <v>8</v>
      </c>
      <c r="D686" t="s">
        <v>60</v>
      </c>
      <c r="E686" t="s">
        <v>26</v>
      </c>
      <c r="F686" t="s">
        <v>18</v>
      </c>
      <c r="G686" t="s">
        <v>11</v>
      </c>
      <c r="H686">
        <v>37.69</v>
      </c>
    </row>
    <row r="687" spans="1:8">
      <c r="A687">
        <v>686</v>
      </c>
      <c r="B687">
        <v>35</v>
      </c>
      <c r="C687" t="s">
        <v>19</v>
      </c>
      <c r="D687" t="s">
        <v>105</v>
      </c>
      <c r="E687" t="s">
        <v>15</v>
      </c>
      <c r="F687" t="s">
        <v>18</v>
      </c>
      <c r="G687" t="s">
        <v>16</v>
      </c>
      <c r="H687">
        <v>293.44</v>
      </c>
    </row>
    <row r="688" spans="1:8">
      <c r="A688">
        <v>687</v>
      </c>
      <c r="B688">
        <v>99</v>
      </c>
      <c r="C688" t="s">
        <v>12</v>
      </c>
      <c r="D688" t="s">
        <v>122</v>
      </c>
      <c r="E688" t="s">
        <v>9</v>
      </c>
      <c r="F688" t="s">
        <v>10</v>
      </c>
      <c r="G688" t="s">
        <v>11</v>
      </c>
      <c r="H688">
        <v>249.02</v>
      </c>
    </row>
    <row r="689" spans="1:8">
      <c r="A689">
        <v>688</v>
      </c>
      <c r="B689">
        <v>65</v>
      </c>
      <c r="C689" t="s">
        <v>8</v>
      </c>
      <c r="D689" t="s">
        <v>52</v>
      </c>
      <c r="E689" t="s">
        <v>26</v>
      </c>
      <c r="F689" t="s">
        <v>10</v>
      </c>
      <c r="G689" t="s">
        <v>20</v>
      </c>
      <c r="H689">
        <v>327.88</v>
      </c>
    </row>
    <row r="690" spans="1:8">
      <c r="A690">
        <v>689</v>
      </c>
      <c r="B690">
        <v>56</v>
      </c>
      <c r="C690" t="s">
        <v>19</v>
      </c>
      <c r="D690" s="1">
        <v>45538</v>
      </c>
      <c r="E690" t="s">
        <v>26</v>
      </c>
      <c r="F690" t="s">
        <v>18</v>
      </c>
      <c r="G690" t="s">
        <v>20</v>
      </c>
      <c r="H690">
        <v>749.31</v>
      </c>
    </row>
    <row r="691" spans="1:8">
      <c r="A691">
        <v>690</v>
      </c>
      <c r="B691">
        <v>96</v>
      </c>
      <c r="C691" t="s">
        <v>19</v>
      </c>
      <c r="D691" t="s">
        <v>102</v>
      </c>
      <c r="E691" t="s">
        <v>9</v>
      </c>
      <c r="F691" t="s">
        <v>10</v>
      </c>
      <c r="G691" t="s">
        <v>16</v>
      </c>
      <c r="H691">
        <v>19.23</v>
      </c>
    </row>
    <row r="692" spans="1:8">
      <c r="A692">
        <v>691</v>
      </c>
      <c r="B692">
        <v>4</v>
      </c>
      <c r="C692" t="s">
        <v>12</v>
      </c>
      <c r="D692" t="s">
        <v>68</v>
      </c>
      <c r="E692" t="s">
        <v>15</v>
      </c>
      <c r="F692" t="s">
        <v>18</v>
      </c>
      <c r="G692" t="s">
        <v>20</v>
      </c>
      <c r="H692">
        <v>470.43</v>
      </c>
    </row>
    <row r="693" spans="1:8">
      <c r="A693">
        <v>692</v>
      </c>
      <c r="B693">
        <v>67</v>
      </c>
      <c r="C693" t="s">
        <v>19</v>
      </c>
      <c r="D693" t="s">
        <v>52</v>
      </c>
      <c r="E693" t="s">
        <v>9</v>
      </c>
      <c r="F693" t="s">
        <v>18</v>
      </c>
      <c r="G693" t="s">
        <v>16</v>
      </c>
      <c r="H693">
        <v>135.49</v>
      </c>
    </row>
    <row r="694" spans="1:8">
      <c r="A694">
        <v>693</v>
      </c>
      <c r="B694">
        <v>95</v>
      </c>
      <c r="C694" t="s">
        <v>8</v>
      </c>
      <c r="D694" t="s">
        <v>49</v>
      </c>
      <c r="E694" t="s">
        <v>9</v>
      </c>
      <c r="F694" t="s">
        <v>10</v>
      </c>
      <c r="G694" t="s">
        <v>20</v>
      </c>
      <c r="H694">
        <v>531.4</v>
      </c>
    </row>
    <row r="695" spans="1:8">
      <c r="A695">
        <v>694</v>
      </c>
      <c r="B695">
        <v>18</v>
      </c>
      <c r="C695" t="s">
        <v>19</v>
      </c>
      <c r="D695" t="s">
        <v>128</v>
      </c>
      <c r="E695" t="s">
        <v>26</v>
      </c>
      <c r="F695" t="s">
        <v>18</v>
      </c>
      <c r="G695" t="s">
        <v>20</v>
      </c>
      <c r="H695">
        <v>205.83</v>
      </c>
    </row>
    <row r="696" spans="1:8">
      <c r="A696">
        <v>695</v>
      </c>
      <c r="B696">
        <v>97</v>
      </c>
      <c r="C696" t="s">
        <v>19</v>
      </c>
      <c r="D696" t="s">
        <v>84</v>
      </c>
      <c r="E696" t="s">
        <v>9</v>
      </c>
      <c r="F696" t="s">
        <v>21</v>
      </c>
      <c r="G696" t="s">
        <v>11</v>
      </c>
      <c r="H696">
        <v>547.02</v>
      </c>
    </row>
    <row r="697" spans="1:8">
      <c r="A697">
        <v>696</v>
      </c>
      <c r="B697">
        <v>84</v>
      </c>
      <c r="C697" t="s">
        <v>12</v>
      </c>
      <c r="D697" s="1">
        <v>45444</v>
      </c>
      <c r="E697" t="s">
        <v>9</v>
      </c>
      <c r="F697" t="s">
        <v>21</v>
      </c>
      <c r="G697" t="s">
        <v>11</v>
      </c>
      <c r="H697">
        <v>459.29</v>
      </c>
    </row>
    <row r="698" spans="1:8">
      <c r="A698">
        <v>697</v>
      </c>
      <c r="B698">
        <v>51</v>
      </c>
      <c r="C698" t="s">
        <v>19</v>
      </c>
      <c r="D698" s="1">
        <v>45326</v>
      </c>
      <c r="E698" t="s">
        <v>26</v>
      </c>
      <c r="F698" t="s">
        <v>18</v>
      </c>
      <c r="G698" t="s">
        <v>20</v>
      </c>
      <c r="H698">
        <v>762.32</v>
      </c>
    </row>
    <row r="699" spans="1:8">
      <c r="A699">
        <v>698</v>
      </c>
      <c r="B699">
        <v>34</v>
      </c>
      <c r="C699" t="s">
        <v>19</v>
      </c>
      <c r="D699" t="s">
        <v>39</v>
      </c>
      <c r="E699" t="s">
        <v>9</v>
      </c>
      <c r="F699" t="s">
        <v>21</v>
      </c>
      <c r="G699" t="s">
        <v>11</v>
      </c>
      <c r="H699">
        <v>684.85</v>
      </c>
    </row>
    <row r="700" spans="1:8">
      <c r="A700">
        <v>699</v>
      </c>
      <c r="B700">
        <v>1</v>
      </c>
      <c r="C700" t="s">
        <v>19</v>
      </c>
      <c r="D700" s="1">
        <v>45386</v>
      </c>
      <c r="E700" t="s">
        <v>9</v>
      </c>
      <c r="F700" t="s">
        <v>18</v>
      </c>
      <c r="G700" t="s">
        <v>16</v>
      </c>
      <c r="H700">
        <v>940.9</v>
      </c>
    </row>
    <row r="701" spans="1:8">
      <c r="A701">
        <v>700</v>
      </c>
      <c r="B701">
        <v>41</v>
      </c>
      <c r="C701" t="s">
        <v>19</v>
      </c>
      <c r="D701" t="s">
        <v>107</v>
      </c>
      <c r="E701" t="s">
        <v>26</v>
      </c>
      <c r="F701" t="s">
        <v>10</v>
      </c>
      <c r="G701" t="s">
        <v>20</v>
      </c>
      <c r="H701">
        <v>894.66</v>
      </c>
    </row>
    <row r="702" spans="1:8">
      <c r="A702">
        <v>701</v>
      </c>
      <c r="B702">
        <v>67</v>
      </c>
      <c r="C702" t="s">
        <v>12</v>
      </c>
      <c r="D702" t="s">
        <v>100</v>
      </c>
      <c r="E702" t="s">
        <v>9</v>
      </c>
      <c r="F702" t="s">
        <v>10</v>
      </c>
      <c r="G702" t="s">
        <v>20</v>
      </c>
      <c r="H702">
        <v>10.44</v>
      </c>
    </row>
    <row r="703" spans="1:8">
      <c r="A703">
        <v>702</v>
      </c>
      <c r="B703">
        <v>43</v>
      </c>
      <c r="C703" t="s">
        <v>19</v>
      </c>
      <c r="D703" t="s">
        <v>84</v>
      </c>
      <c r="E703" t="s">
        <v>9</v>
      </c>
      <c r="F703" t="s">
        <v>10</v>
      </c>
      <c r="G703" t="s">
        <v>11</v>
      </c>
      <c r="H703">
        <v>878.23</v>
      </c>
    </row>
    <row r="704" spans="1:8">
      <c r="A704">
        <v>703</v>
      </c>
      <c r="B704">
        <v>34</v>
      </c>
      <c r="C704" t="s">
        <v>8</v>
      </c>
      <c r="D704" t="s">
        <v>94</v>
      </c>
      <c r="E704" t="s">
        <v>15</v>
      </c>
      <c r="F704" t="s">
        <v>10</v>
      </c>
      <c r="G704" t="s">
        <v>16</v>
      </c>
      <c r="H704">
        <v>164.64</v>
      </c>
    </row>
    <row r="705" spans="1:8">
      <c r="A705">
        <v>704</v>
      </c>
      <c r="B705">
        <v>7</v>
      </c>
      <c r="C705" t="s">
        <v>8</v>
      </c>
      <c r="D705" s="1">
        <v>45324</v>
      </c>
      <c r="E705" t="s">
        <v>15</v>
      </c>
      <c r="F705" t="s">
        <v>18</v>
      </c>
      <c r="G705" t="s">
        <v>11</v>
      </c>
      <c r="H705">
        <v>132.46</v>
      </c>
    </row>
    <row r="706" spans="1:8">
      <c r="A706">
        <v>705</v>
      </c>
      <c r="B706">
        <v>54</v>
      </c>
      <c r="C706" t="s">
        <v>12</v>
      </c>
      <c r="D706" s="1">
        <v>45353</v>
      </c>
      <c r="E706" t="s">
        <v>15</v>
      </c>
      <c r="F706" t="s">
        <v>21</v>
      </c>
      <c r="G706" t="s">
        <v>16</v>
      </c>
      <c r="H706">
        <v>789.51</v>
      </c>
    </row>
    <row r="707" spans="1:8">
      <c r="A707">
        <v>706</v>
      </c>
      <c r="B707">
        <v>37</v>
      </c>
      <c r="C707" t="s">
        <v>12</v>
      </c>
      <c r="D707" t="s">
        <v>54</v>
      </c>
      <c r="E707" t="s">
        <v>9</v>
      </c>
      <c r="F707" t="s">
        <v>21</v>
      </c>
      <c r="G707" t="s">
        <v>11</v>
      </c>
      <c r="H707">
        <v>969.4</v>
      </c>
    </row>
    <row r="708" spans="1:8">
      <c r="A708">
        <v>707</v>
      </c>
      <c r="B708">
        <v>86</v>
      </c>
      <c r="C708" t="s">
        <v>12</v>
      </c>
      <c r="D708" t="s">
        <v>59</v>
      </c>
      <c r="E708" t="s">
        <v>26</v>
      </c>
      <c r="F708" t="s">
        <v>18</v>
      </c>
      <c r="G708" t="s">
        <v>16</v>
      </c>
      <c r="H708">
        <v>667.18</v>
      </c>
    </row>
    <row r="709" spans="1:8">
      <c r="A709">
        <v>708</v>
      </c>
      <c r="B709">
        <v>22</v>
      </c>
      <c r="C709" t="s">
        <v>12</v>
      </c>
      <c r="D709" s="1">
        <v>45539</v>
      </c>
      <c r="E709" t="s">
        <v>9</v>
      </c>
      <c r="F709" t="s">
        <v>10</v>
      </c>
      <c r="G709" t="s">
        <v>20</v>
      </c>
      <c r="H709">
        <v>781.35</v>
      </c>
    </row>
    <row r="710" spans="1:8">
      <c r="A710">
        <v>709</v>
      </c>
      <c r="B710">
        <v>79</v>
      </c>
      <c r="C710" t="s">
        <v>12</v>
      </c>
      <c r="D710" s="1">
        <v>45568</v>
      </c>
      <c r="E710" t="s">
        <v>9</v>
      </c>
      <c r="F710" t="s">
        <v>10</v>
      </c>
      <c r="G710" t="s">
        <v>16</v>
      </c>
      <c r="H710">
        <v>711.6</v>
      </c>
    </row>
    <row r="711" spans="1:8">
      <c r="A711">
        <v>710</v>
      </c>
      <c r="B711">
        <v>4</v>
      </c>
      <c r="C711" t="s">
        <v>19</v>
      </c>
      <c r="D711" t="s">
        <v>49</v>
      </c>
      <c r="E711" t="s">
        <v>26</v>
      </c>
      <c r="F711" t="s">
        <v>21</v>
      </c>
      <c r="G711" t="s">
        <v>11</v>
      </c>
      <c r="H711">
        <v>91.9</v>
      </c>
    </row>
    <row r="712" spans="1:8">
      <c r="A712">
        <v>711</v>
      </c>
      <c r="B712">
        <v>36</v>
      </c>
      <c r="C712" t="s">
        <v>19</v>
      </c>
      <c r="D712" t="s">
        <v>91</v>
      </c>
      <c r="E712" t="s">
        <v>15</v>
      </c>
      <c r="F712" t="s">
        <v>10</v>
      </c>
      <c r="G712" t="s">
        <v>20</v>
      </c>
      <c r="H712">
        <v>767.74</v>
      </c>
    </row>
    <row r="713" spans="1:8">
      <c r="A713">
        <v>712</v>
      </c>
      <c r="B713">
        <v>74</v>
      </c>
      <c r="C713" t="s">
        <v>8</v>
      </c>
      <c r="D713" t="s">
        <v>100</v>
      </c>
      <c r="E713" t="s">
        <v>26</v>
      </c>
      <c r="F713" t="s">
        <v>10</v>
      </c>
      <c r="G713" t="s">
        <v>11</v>
      </c>
      <c r="H713">
        <v>535.88</v>
      </c>
    </row>
    <row r="714" spans="1:8">
      <c r="A714">
        <v>713</v>
      </c>
      <c r="B714">
        <v>36</v>
      </c>
      <c r="C714" t="s">
        <v>8</v>
      </c>
      <c r="D714" t="s">
        <v>87</v>
      </c>
      <c r="E714" t="s">
        <v>15</v>
      </c>
      <c r="F714" t="s">
        <v>18</v>
      </c>
      <c r="G714" t="s">
        <v>16</v>
      </c>
      <c r="H714">
        <v>390.43</v>
      </c>
    </row>
    <row r="715" spans="1:8">
      <c r="A715">
        <v>714</v>
      </c>
      <c r="B715">
        <v>66</v>
      </c>
      <c r="C715" t="s">
        <v>19</v>
      </c>
      <c r="D715" s="1">
        <v>45388</v>
      </c>
      <c r="E715" t="s">
        <v>9</v>
      </c>
      <c r="F715" t="s">
        <v>10</v>
      </c>
      <c r="G715" t="s">
        <v>11</v>
      </c>
      <c r="H715">
        <v>932.34</v>
      </c>
    </row>
    <row r="716" spans="1:8">
      <c r="A716">
        <v>715</v>
      </c>
      <c r="B716">
        <v>27</v>
      </c>
      <c r="C716" t="s">
        <v>12</v>
      </c>
      <c r="D716" t="s">
        <v>125</v>
      </c>
      <c r="E716" t="s">
        <v>26</v>
      </c>
      <c r="F716" t="s">
        <v>21</v>
      </c>
      <c r="G716" t="s">
        <v>20</v>
      </c>
      <c r="H716">
        <v>763.5</v>
      </c>
    </row>
    <row r="717" spans="1:8">
      <c r="A717">
        <v>716</v>
      </c>
      <c r="B717">
        <v>86</v>
      </c>
      <c r="C717" t="s">
        <v>8</v>
      </c>
      <c r="D717" s="1">
        <v>45416</v>
      </c>
      <c r="E717" t="s">
        <v>26</v>
      </c>
      <c r="F717" t="s">
        <v>10</v>
      </c>
      <c r="G717" t="s">
        <v>11</v>
      </c>
      <c r="H717">
        <v>438.58</v>
      </c>
    </row>
    <row r="718" spans="1:8">
      <c r="A718">
        <v>717</v>
      </c>
      <c r="B718">
        <v>84</v>
      </c>
      <c r="C718" t="s">
        <v>19</v>
      </c>
      <c r="D718" s="1">
        <v>45292</v>
      </c>
      <c r="E718" t="s">
        <v>15</v>
      </c>
      <c r="F718" t="s">
        <v>10</v>
      </c>
      <c r="G718" t="s">
        <v>20</v>
      </c>
      <c r="H718">
        <v>147.94</v>
      </c>
    </row>
    <row r="719" spans="1:8">
      <c r="A719">
        <v>718</v>
      </c>
      <c r="B719">
        <v>33</v>
      </c>
      <c r="C719" t="s">
        <v>19</v>
      </c>
      <c r="D719" s="1">
        <v>45599</v>
      </c>
      <c r="E719" t="s">
        <v>15</v>
      </c>
      <c r="F719" t="s">
        <v>10</v>
      </c>
      <c r="G719" t="s">
        <v>16</v>
      </c>
      <c r="H719">
        <v>967.35</v>
      </c>
    </row>
    <row r="720" spans="1:8">
      <c r="A720">
        <v>719</v>
      </c>
      <c r="B720">
        <v>18</v>
      </c>
      <c r="C720" t="s">
        <v>19</v>
      </c>
      <c r="D720" s="1">
        <v>45386</v>
      </c>
      <c r="E720" t="s">
        <v>15</v>
      </c>
      <c r="F720" t="s">
        <v>10</v>
      </c>
      <c r="G720" t="s">
        <v>20</v>
      </c>
      <c r="H720">
        <v>909.42</v>
      </c>
    </row>
    <row r="721" spans="1:8">
      <c r="A721">
        <v>720</v>
      </c>
      <c r="B721">
        <v>77</v>
      </c>
      <c r="C721" t="s">
        <v>12</v>
      </c>
      <c r="D721" s="1">
        <v>45324</v>
      </c>
      <c r="E721" t="s">
        <v>15</v>
      </c>
      <c r="F721" t="s">
        <v>21</v>
      </c>
      <c r="G721" t="s">
        <v>20</v>
      </c>
      <c r="H721">
        <v>617.24</v>
      </c>
    </row>
    <row r="722" spans="1:8">
      <c r="A722">
        <v>721</v>
      </c>
      <c r="B722">
        <v>44</v>
      </c>
      <c r="C722" t="s">
        <v>19</v>
      </c>
      <c r="D722" t="s">
        <v>13</v>
      </c>
      <c r="E722" t="s">
        <v>9</v>
      </c>
      <c r="F722" t="s">
        <v>21</v>
      </c>
      <c r="G722" t="s">
        <v>20</v>
      </c>
      <c r="H722">
        <v>552</v>
      </c>
    </row>
    <row r="723" spans="1:8">
      <c r="A723">
        <v>722</v>
      </c>
      <c r="B723">
        <v>76</v>
      </c>
      <c r="C723" t="s">
        <v>8</v>
      </c>
      <c r="D723" s="1">
        <v>45568</v>
      </c>
      <c r="E723" t="s">
        <v>15</v>
      </c>
      <c r="F723" t="s">
        <v>10</v>
      </c>
      <c r="G723" t="s">
        <v>20</v>
      </c>
      <c r="H723">
        <v>746.64</v>
      </c>
    </row>
    <row r="724" spans="1:8">
      <c r="A724">
        <v>723</v>
      </c>
      <c r="B724">
        <v>25</v>
      </c>
      <c r="C724" t="s">
        <v>8</v>
      </c>
      <c r="D724" t="s">
        <v>80</v>
      </c>
      <c r="E724" t="s">
        <v>15</v>
      </c>
      <c r="F724" t="s">
        <v>18</v>
      </c>
      <c r="G724" t="s">
        <v>11</v>
      </c>
      <c r="H724">
        <v>133.43</v>
      </c>
    </row>
    <row r="725" spans="1:8">
      <c r="A725">
        <v>724</v>
      </c>
      <c r="B725">
        <v>58</v>
      </c>
      <c r="C725" t="s">
        <v>8</v>
      </c>
      <c r="D725" t="s">
        <v>73</v>
      </c>
      <c r="E725" t="s">
        <v>26</v>
      </c>
      <c r="F725" t="s">
        <v>21</v>
      </c>
      <c r="G725" t="s">
        <v>20</v>
      </c>
      <c r="H725">
        <v>437.82</v>
      </c>
    </row>
    <row r="726" spans="1:8">
      <c r="A726">
        <v>725</v>
      </c>
      <c r="B726">
        <v>15</v>
      </c>
      <c r="C726" t="s">
        <v>19</v>
      </c>
      <c r="D726" t="s">
        <v>58</v>
      </c>
      <c r="E726" t="s">
        <v>26</v>
      </c>
      <c r="F726" t="s">
        <v>10</v>
      </c>
      <c r="G726" t="s">
        <v>11</v>
      </c>
      <c r="H726">
        <v>713.29</v>
      </c>
    </row>
    <row r="727" spans="1:8">
      <c r="A727">
        <v>726</v>
      </c>
      <c r="B727">
        <v>24</v>
      </c>
      <c r="C727" t="s">
        <v>19</v>
      </c>
      <c r="D727" t="s">
        <v>27</v>
      </c>
      <c r="E727" t="s">
        <v>26</v>
      </c>
      <c r="F727" t="s">
        <v>18</v>
      </c>
      <c r="G727" t="s">
        <v>16</v>
      </c>
      <c r="H727">
        <v>321.04000000000002</v>
      </c>
    </row>
    <row r="728" spans="1:8">
      <c r="A728">
        <v>727</v>
      </c>
      <c r="B728">
        <v>92</v>
      </c>
      <c r="C728" t="s">
        <v>12</v>
      </c>
      <c r="D728" s="1">
        <v>45627</v>
      </c>
      <c r="E728" t="s">
        <v>26</v>
      </c>
      <c r="F728" t="s">
        <v>10</v>
      </c>
      <c r="G728" t="s">
        <v>16</v>
      </c>
      <c r="H728">
        <v>988.41</v>
      </c>
    </row>
    <row r="729" spans="1:8">
      <c r="A729">
        <v>728</v>
      </c>
      <c r="B729">
        <v>5</v>
      </c>
      <c r="C729" t="s">
        <v>8</v>
      </c>
      <c r="D729" s="1">
        <v>45566</v>
      </c>
      <c r="E729" t="s">
        <v>9</v>
      </c>
      <c r="F729" t="s">
        <v>18</v>
      </c>
      <c r="G729" t="s">
        <v>20</v>
      </c>
      <c r="H729">
        <v>164.56</v>
      </c>
    </row>
    <row r="730" spans="1:8">
      <c r="A730">
        <v>729</v>
      </c>
      <c r="B730">
        <v>74</v>
      </c>
      <c r="C730" t="s">
        <v>8</v>
      </c>
      <c r="D730" t="s">
        <v>117</v>
      </c>
      <c r="E730" t="s">
        <v>9</v>
      </c>
      <c r="F730" t="s">
        <v>21</v>
      </c>
      <c r="G730" t="s">
        <v>20</v>
      </c>
      <c r="H730">
        <v>357.07</v>
      </c>
    </row>
    <row r="731" spans="1:8">
      <c r="A731">
        <v>730</v>
      </c>
      <c r="B731">
        <v>31</v>
      </c>
      <c r="C731" t="s">
        <v>8</v>
      </c>
      <c r="D731" t="s">
        <v>99</v>
      </c>
      <c r="E731" t="s">
        <v>26</v>
      </c>
      <c r="F731" t="s">
        <v>10</v>
      </c>
      <c r="G731" t="s">
        <v>16</v>
      </c>
      <c r="H731">
        <v>189.23</v>
      </c>
    </row>
    <row r="732" spans="1:8">
      <c r="A732">
        <v>731</v>
      </c>
      <c r="B732">
        <v>37</v>
      </c>
      <c r="C732" t="s">
        <v>19</v>
      </c>
      <c r="D732" t="s">
        <v>108</v>
      </c>
      <c r="E732" t="s">
        <v>9</v>
      </c>
      <c r="F732" t="s">
        <v>21</v>
      </c>
      <c r="G732" t="s">
        <v>20</v>
      </c>
      <c r="H732">
        <v>840.24</v>
      </c>
    </row>
    <row r="733" spans="1:8">
      <c r="A733">
        <v>732</v>
      </c>
      <c r="B733">
        <v>44</v>
      </c>
      <c r="C733" t="s">
        <v>8</v>
      </c>
      <c r="D733" t="s">
        <v>73</v>
      </c>
      <c r="E733" t="s">
        <v>15</v>
      </c>
      <c r="F733" t="s">
        <v>10</v>
      </c>
      <c r="G733" t="s">
        <v>16</v>
      </c>
      <c r="H733">
        <v>630.5</v>
      </c>
    </row>
    <row r="734" spans="1:8">
      <c r="A734">
        <v>733</v>
      </c>
      <c r="B734">
        <v>28</v>
      </c>
      <c r="C734" t="s">
        <v>12</v>
      </c>
      <c r="D734" s="1">
        <v>45445</v>
      </c>
      <c r="E734" t="s">
        <v>26</v>
      </c>
      <c r="F734" t="s">
        <v>21</v>
      </c>
      <c r="G734" t="s">
        <v>20</v>
      </c>
      <c r="H734">
        <v>584.54</v>
      </c>
    </row>
    <row r="735" spans="1:8">
      <c r="A735">
        <v>734</v>
      </c>
      <c r="B735">
        <v>85</v>
      </c>
      <c r="C735" t="s">
        <v>12</v>
      </c>
      <c r="D735" t="s">
        <v>128</v>
      </c>
      <c r="E735" t="s">
        <v>26</v>
      </c>
      <c r="F735" t="s">
        <v>21</v>
      </c>
      <c r="G735" t="s">
        <v>16</v>
      </c>
      <c r="H735">
        <v>995.47</v>
      </c>
    </row>
    <row r="736" spans="1:8">
      <c r="A736">
        <v>735</v>
      </c>
      <c r="B736">
        <v>60</v>
      </c>
      <c r="C736" t="s">
        <v>8</v>
      </c>
      <c r="D736" s="1">
        <v>45628</v>
      </c>
      <c r="E736" t="s">
        <v>26</v>
      </c>
      <c r="F736" t="s">
        <v>18</v>
      </c>
      <c r="G736" t="s">
        <v>20</v>
      </c>
      <c r="H736">
        <v>894.31</v>
      </c>
    </row>
    <row r="737" spans="1:8">
      <c r="A737">
        <v>736</v>
      </c>
      <c r="B737">
        <v>63</v>
      </c>
      <c r="C737" t="s">
        <v>12</v>
      </c>
      <c r="D737" t="s">
        <v>63</v>
      </c>
      <c r="E737" t="s">
        <v>9</v>
      </c>
      <c r="F737" t="s">
        <v>10</v>
      </c>
      <c r="G737" t="s">
        <v>16</v>
      </c>
      <c r="H737">
        <v>420.57</v>
      </c>
    </row>
    <row r="738" spans="1:8">
      <c r="A738">
        <v>737</v>
      </c>
      <c r="B738">
        <v>46</v>
      </c>
      <c r="C738" t="s">
        <v>8</v>
      </c>
      <c r="D738" t="s">
        <v>92</v>
      </c>
      <c r="E738" t="s">
        <v>9</v>
      </c>
      <c r="F738" t="s">
        <v>21</v>
      </c>
      <c r="G738" t="s">
        <v>11</v>
      </c>
      <c r="H738">
        <v>71.86</v>
      </c>
    </row>
    <row r="739" spans="1:8">
      <c r="A739">
        <v>738</v>
      </c>
      <c r="B739">
        <v>81</v>
      </c>
      <c r="C739" t="s">
        <v>8</v>
      </c>
      <c r="D739" s="1">
        <v>45387</v>
      </c>
      <c r="E739" t="s">
        <v>15</v>
      </c>
      <c r="F739" t="s">
        <v>10</v>
      </c>
      <c r="G739" t="s">
        <v>20</v>
      </c>
      <c r="H739">
        <v>895.96</v>
      </c>
    </row>
    <row r="740" spans="1:8">
      <c r="A740">
        <v>739</v>
      </c>
      <c r="B740">
        <v>98</v>
      </c>
      <c r="C740" t="s">
        <v>19</v>
      </c>
      <c r="D740" s="1">
        <v>45384</v>
      </c>
      <c r="E740" t="s">
        <v>9</v>
      </c>
      <c r="F740" t="s">
        <v>21</v>
      </c>
      <c r="G740" t="s">
        <v>20</v>
      </c>
      <c r="H740">
        <v>491.28</v>
      </c>
    </row>
    <row r="741" spans="1:8">
      <c r="A741">
        <v>740</v>
      </c>
      <c r="B741">
        <v>79</v>
      </c>
      <c r="C741" t="s">
        <v>12</v>
      </c>
      <c r="D741" t="s">
        <v>71</v>
      </c>
      <c r="E741" t="s">
        <v>15</v>
      </c>
      <c r="F741" t="s">
        <v>21</v>
      </c>
      <c r="G741" t="s">
        <v>20</v>
      </c>
      <c r="H741">
        <v>63.99</v>
      </c>
    </row>
    <row r="742" spans="1:8">
      <c r="A742">
        <v>741</v>
      </c>
      <c r="B742">
        <v>91</v>
      </c>
      <c r="C742" t="s">
        <v>19</v>
      </c>
      <c r="D742" s="1">
        <v>45447</v>
      </c>
      <c r="E742" t="s">
        <v>15</v>
      </c>
      <c r="F742" t="s">
        <v>10</v>
      </c>
      <c r="G742" t="s">
        <v>11</v>
      </c>
      <c r="H742">
        <v>409.99</v>
      </c>
    </row>
    <row r="743" spans="1:8">
      <c r="A743">
        <v>742</v>
      </c>
      <c r="B743">
        <v>51</v>
      </c>
      <c r="C743" t="s">
        <v>19</v>
      </c>
      <c r="D743" s="1">
        <v>45444</v>
      </c>
      <c r="E743" t="s">
        <v>15</v>
      </c>
      <c r="F743" t="s">
        <v>18</v>
      </c>
      <c r="G743" t="s">
        <v>16</v>
      </c>
      <c r="H743">
        <v>391.78</v>
      </c>
    </row>
    <row r="744" spans="1:8">
      <c r="A744">
        <v>743</v>
      </c>
      <c r="B744">
        <v>27</v>
      </c>
      <c r="C744" t="s">
        <v>19</v>
      </c>
      <c r="D744" t="s">
        <v>81</v>
      </c>
      <c r="E744" t="s">
        <v>15</v>
      </c>
      <c r="F744" t="s">
        <v>10</v>
      </c>
      <c r="G744" t="s">
        <v>20</v>
      </c>
      <c r="H744">
        <v>921.78</v>
      </c>
    </row>
    <row r="745" spans="1:8">
      <c r="A745">
        <v>744</v>
      </c>
      <c r="B745">
        <v>30</v>
      </c>
      <c r="C745" t="s">
        <v>19</v>
      </c>
      <c r="D745" s="1">
        <v>45571</v>
      </c>
      <c r="E745" t="s">
        <v>9</v>
      </c>
      <c r="F745" t="s">
        <v>10</v>
      </c>
      <c r="G745" t="s">
        <v>20</v>
      </c>
      <c r="H745">
        <v>789.34</v>
      </c>
    </row>
    <row r="746" spans="1:8">
      <c r="A746">
        <v>745</v>
      </c>
      <c r="B746">
        <v>97</v>
      </c>
      <c r="C746" t="s">
        <v>19</v>
      </c>
      <c r="D746" s="1">
        <v>45509</v>
      </c>
      <c r="E746" t="s">
        <v>15</v>
      </c>
      <c r="F746" t="s">
        <v>21</v>
      </c>
      <c r="G746" t="s">
        <v>11</v>
      </c>
      <c r="H746">
        <v>862.7</v>
      </c>
    </row>
    <row r="747" spans="1:8">
      <c r="A747">
        <v>746</v>
      </c>
      <c r="B747">
        <v>93</v>
      </c>
      <c r="C747" t="s">
        <v>8</v>
      </c>
      <c r="D747" s="1">
        <v>45537</v>
      </c>
      <c r="E747" t="s">
        <v>9</v>
      </c>
      <c r="F747" t="s">
        <v>10</v>
      </c>
      <c r="G747" t="s">
        <v>20</v>
      </c>
      <c r="H747">
        <v>395.02</v>
      </c>
    </row>
    <row r="748" spans="1:8">
      <c r="A748">
        <v>747</v>
      </c>
      <c r="B748">
        <v>52</v>
      </c>
      <c r="C748" t="s">
        <v>19</v>
      </c>
      <c r="D748" s="1">
        <v>45354</v>
      </c>
      <c r="E748" t="s">
        <v>26</v>
      </c>
      <c r="F748" t="s">
        <v>10</v>
      </c>
      <c r="G748" t="s">
        <v>11</v>
      </c>
      <c r="H748">
        <v>507.39</v>
      </c>
    </row>
    <row r="749" spans="1:8">
      <c r="A749">
        <v>748</v>
      </c>
      <c r="B749">
        <v>41</v>
      </c>
      <c r="C749" t="s">
        <v>19</v>
      </c>
      <c r="D749" t="s">
        <v>47</v>
      </c>
      <c r="E749" t="s">
        <v>15</v>
      </c>
      <c r="F749" t="s">
        <v>21</v>
      </c>
      <c r="G749" t="s">
        <v>20</v>
      </c>
      <c r="H749">
        <v>990.02</v>
      </c>
    </row>
    <row r="750" spans="1:8">
      <c r="A750">
        <v>749</v>
      </c>
      <c r="B750">
        <v>64</v>
      </c>
      <c r="C750" t="s">
        <v>12</v>
      </c>
      <c r="D750" t="s">
        <v>126</v>
      </c>
      <c r="E750" t="s">
        <v>9</v>
      </c>
      <c r="F750" t="s">
        <v>10</v>
      </c>
      <c r="G750" t="s">
        <v>11</v>
      </c>
      <c r="H750">
        <v>466.97</v>
      </c>
    </row>
    <row r="751" spans="1:8">
      <c r="A751">
        <v>750</v>
      </c>
      <c r="B751">
        <v>9</v>
      </c>
      <c r="C751" t="s">
        <v>12</v>
      </c>
      <c r="D751" t="s">
        <v>44</v>
      </c>
      <c r="E751" t="s">
        <v>26</v>
      </c>
      <c r="F751" t="s">
        <v>21</v>
      </c>
      <c r="G751" t="s">
        <v>20</v>
      </c>
      <c r="H751">
        <v>49.52</v>
      </c>
    </row>
    <row r="752" spans="1:8">
      <c r="A752">
        <v>751</v>
      </c>
      <c r="B752">
        <v>42</v>
      </c>
      <c r="C752" t="s">
        <v>12</v>
      </c>
      <c r="D752" t="s">
        <v>62</v>
      </c>
      <c r="E752" t="s">
        <v>9</v>
      </c>
      <c r="F752" t="s">
        <v>10</v>
      </c>
      <c r="G752" t="s">
        <v>20</v>
      </c>
      <c r="H752">
        <v>543.92999999999995</v>
      </c>
    </row>
    <row r="753" spans="1:8">
      <c r="A753">
        <v>752</v>
      </c>
      <c r="B753">
        <v>81</v>
      </c>
      <c r="C753" t="s">
        <v>12</v>
      </c>
      <c r="D753" s="1">
        <v>45631</v>
      </c>
      <c r="E753" t="s">
        <v>26</v>
      </c>
      <c r="F753" t="s">
        <v>21</v>
      </c>
      <c r="G753" t="s">
        <v>16</v>
      </c>
      <c r="H753">
        <v>688.91</v>
      </c>
    </row>
    <row r="754" spans="1:8">
      <c r="A754">
        <v>753</v>
      </c>
      <c r="B754">
        <v>83</v>
      </c>
      <c r="C754" t="s">
        <v>19</v>
      </c>
      <c r="D754" s="1">
        <v>45505</v>
      </c>
      <c r="E754" t="s">
        <v>26</v>
      </c>
      <c r="F754" t="s">
        <v>18</v>
      </c>
      <c r="G754" t="s">
        <v>11</v>
      </c>
      <c r="H754">
        <v>140.96</v>
      </c>
    </row>
    <row r="755" spans="1:8">
      <c r="A755">
        <v>754</v>
      </c>
      <c r="B755">
        <v>17</v>
      </c>
      <c r="C755" t="s">
        <v>8</v>
      </c>
      <c r="D755" t="s">
        <v>36</v>
      </c>
      <c r="E755" t="s">
        <v>9</v>
      </c>
      <c r="F755" t="s">
        <v>10</v>
      </c>
      <c r="G755" t="s">
        <v>20</v>
      </c>
      <c r="H755">
        <v>624.69000000000005</v>
      </c>
    </row>
    <row r="756" spans="1:8">
      <c r="A756">
        <v>755</v>
      </c>
      <c r="B756">
        <v>90</v>
      </c>
      <c r="C756" t="s">
        <v>19</v>
      </c>
      <c r="D756" s="1">
        <v>45292</v>
      </c>
      <c r="E756" t="s">
        <v>9</v>
      </c>
      <c r="F756" t="s">
        <v>18</v>
      </c>
      <c r="G756" t="s">
        <v>20</v>
      </c>
      <c r="H756">
        <v>317.5</v>
      </c>
    </row>
    <row r="757" spans="1:8">
      <c r="A757">
        <v>756</v>
      </c>
      <c r="B757">
        <v>77</v>
      </c>
      <c r="C757" t="s">
        <v>12</v>
      </c>
      <c r="D757" s="1">
        <v>45632</v>
      </c>
      <c r="E757" t="s">
        <v>9</v>
      </c>
      <c r="F757" t="s">
        <v>10</v>
      </c>
      <c r="G757" t="s">
        <v>20</v>
      </c>
      <c r="H757">
        <v>363.84</v>
      </c>
    </row>
    <row r="758" spans="1:8">
      <c r="A758">
        <v>757</v>
      </c>
      <c r="B758">
        <v>40</v>
      </c>
      <c r="C758" t="s">
        <v>12</v>
      </c>
      <c r="D758" t="s">
        <v>98</v>
      </c>
      <c r="E758" t="s">
        <v>26</v>
      </c>
      <c r="F758" t="s">
        <v>21</v>
      </c>
      <c r="G758" t="s">
        <v>20</v>
      </c>
      <c r="H758">
        <v>472.15</v>
      </c>
    </row>
    <row r="759" spans="1:8">
      <c r="A759">
        <v>758</v>
      </c>
      <c r="B759">
        <v>12</v>
      </c>
      <c r="C759" t="s">
        <v>19</v>
      </c>
      <c r="D759" t="s">
        <v>37</v>
      </c>
      <c r="E759" t="s">
        <v>15</v>
      </c>
      <c r="F759" t="s">
        <v>21</v>
      </c>
      <c r="G759" t="s">
        <v>16</v>
      </c>
      <c r="H759">
        <v>765.19</v>
      </c>
    </row>
    <row r="760" spans="1:8">
      <c r="A760">
        <v>759</v>
      </c>
      <c r="B760">
        <v>40</v>
      </c>
      <c r="C760" t="s">
        <v>19</v>
      </c>
      <c r="D760" t="s">
        <v>44</v>
      </c>
      <c r="E760" t="s">
        <v>26</v>
      </c>
      <c r="F760" t="s">
        <v>21</v>
      </c>
      <c r="G760" t="s">
        <v>20</v>
      </c>
      <c r="H760">
        <v>551.79</v>
      </c>
    </row>
    <row r="761" spans="1:8">
      <c r="A761">
        <v>760</v>
      </c>
      <c r="B761">
        <v>31</v>
      </c>
      <c r="C761" t="s">
        <v>8</v>
      </c>
      <c r="D761" t="s">
        <v>88</v>
      </c>
      <c r="E761" t="s">
        <v>26</v>
      </c>
      <c r="F761" t="s">
        <v>18</v>
      </c>
      <c r="G761" t="s">
        <v>20</v>
      </c>
      <c r="H761">
        <v>950.2</v>
      </c>
    </row>
    <row r="762" spans="1:8">
      <c r="A762">
        <v>761</v>
      </c>
      <c r="B762">
        <v>67</v>
      </c>
      <c r="C762" t="s">
        <v>12</v>
      </c>
      <c r="D762" s="1">
        <v>45413</v>
      </c>
      <c r="E762" t="s">
        <v>9</v>
      </c>
      <c r="F762" t="s">
        <v>18</v>
      </c>
      <c r="G762" t="s">
        <v>16</v>
      </c>
      <c r="H762">
        <v>749.01</v>
      </c>
    </row>
    <row r="763" spans="1:8">
      <c r="A763">
        <v>762</v>
      </c>
      <c r="B763">
        <v>27</v>
      </c>
      <c r="C763" t="s">
        <v>19</v>
      </c>
      <c r="D763" t="s">
        <v>14</v>
      </c>
      <c r="E763" t="s">
        <v>15</v>
      </c>
      <c r="F763" t="s">
        <v>18</v>
      </c>
      <c r="G763" t="s">
        <v>20</v>
      </c>
      <c r="H763">
        <v>917.24</v>
      </c>
    </row>
    <row r="764" spans="1:8">
      <c r="A764">
        <v>763</v>
      </c>
      <c r="B764">
        <v>44</v>
      </c>
      <c r="C764" t="s">
        <v>19</v>
      </c>
      <c r="D764" t="s">
        <v>46</v>
      </c>
      <c r="E764" t="s">
        <v>9</v>
      </c>
      <c r="F764" t="s">
        <v>10</v>
      </c>
      <c r="G764" t="s">
        <v>16</v>
      </c>
      <c r="H764">
        <v>527.76</v>
      </c>
    </row>
    <row r="765" spans="1:8">
      <c r="A765">
        <v>764</v>
      </c>
      <c r="B765">
        <v>40</v>
      </c>
      <c r="C765" t="s">
        <v>8</v>
      </c>
      <c r="D765" t="s">
        <v>13</v>
      </c>
      <c r="E765" t="s">
        <v>15</v>
      </c>
      <c r="F765" t="s">
        <v>10</v>
      </c>
      <c r="G765" t="s">
        <v>11</v>
      </c>
      <c r="H765">
        <v>615.24</v>
      </c>
    </row>
    <row r="766" spans="1:8">
      <c r="A766">
        <v>765</v>
      </c>
      <c r="B766">
        <v>70</v>
      </c>
      <c r="C766" t="s">
        <v>8</v>
      </c>
      <c r="D766" t="s">
        <v>13</v>
      </c>
      <c r="E766" t="s">
        <v>9</v>
      </c>
      <c r="F766" t="s">
        <v>10</v>
      </c>
      <c r="G766" t="s">
        <v>11</v>
      </c>
      <c r="H766">
        <v>610.26</v>
      </c>
    </row>
    <row r="767" spans="1:8">
      <c r="A767">
        <v>766</v>
      </c>
      <c r="B767">
        <v>49</v>
      </c>
      <c r="C767" t="s">
        <v>19</v>
      </c>
      <c r="D767" s="1">
        <v>45447</v>
      </c>
      <c r="E767" t="s">
        <v>9</v>
      </c>
      <c r="F767" t="s">
        <v>21</v>
      </c>
      <c r="G767" t="s">
        <v>11</v>
      </c>
      <c r="H767">
        <v>305.36</v>
      </c>
    </row>
    <row r="768" spans="1:8">
      <c r="A768">
        <v>767</v>
      </c>
      <c r="B768">
        <v>81</v>
      </c>
      <c r="C768" t="s">
        <v>8</v>
      </c>
      <c r="D768" t="s">
        <v>44</v>
      </c>
      <c r="E768" t="s">
        <v>9</v>
      </c>
      <c r="F768" t="s">
        <v>10</v>
      </c>
      <c r="G768" t="s">
        <v>16</v>
      </c>
      <c r="H768">
        <v>753.7</v>
      </c>
    </row>
    <row r="769" spans="1:8">
      <c r="A769">
        <v>768</v>
      </c>
      <c r="B769">
        <v>48</v>
      </c>
      <c r="C769" t="s">
        <v>19</v>
      </c>
      <c r="D769" s="1">
        <v>45536</v>
      </c>
      <c r="E769" t="s">
        <v>15</v>
      </c>
      <c r="F769" t="s">
        <v>21</v>
      </c>
      <c r="G769" t="s">
        <v>11</v>
      </c>
      <c r="H769">
        <v>67.489999999999995</v>
      </c>
    </row>
    <row r="770" spans="1:8">
      <c r="A770">
        <v>769</v>
      </c>
      <c r="B770">
        <v>83</v>
      </c>
      <c r="C770" t="s">
        <v>8</v>
      </c>
      <c r="D770" t="s">
        <v>49</v>
      </c>
      <c r="E770" t="s">
        <v>9</v>
      </c>
      <c r="F770" t="s">
        <v>10</v>
      </c>
      <c r="G770" t="s">
        <v>11</v>
      </c>
      <c r="H770">
        <v>655.26</v>
      </c>
    </row>
    <row r="771" spans="1:8">
      <c r="A771">
        <v>770</v>
      </c>
      <c r="B771">
        <v>56</v>
      </c>
      <c r="C771" t="s">
        <v>8</v>
      </c>
      <c r="D771" t="s">
        <v>46</v>
      </c>
      <c r="E771" t="s">
        <v>26</v>
      </c>
      <c r="F771" t="s">
        <v>21</v>
      </c>
      <c r="G771" t="s">
        <v>11</v>
      </c>
      <c r="H771">
        <v>119.28</v>
      </c>
    </row>
    <row r="772" spans="1:8">
      <c r="A772">
        <v>771</v>
      </c>
      <c r="B772">
        <v>97</v>
      </c>
      <c r="C772" t="s">
        <v>8</v>
      </c>
      <c r="D772" t="s">
        <v>36</v>
      </c>
      <c r="E772" t="s">
        <v>15</v>
      </c>
      <c r="F772" t="s">
        <v>18</v>
      </c>
      <c r="G772" t="s">
        <v>20</v>
      </c>
      <c r="H772">
        <v>617.35</v>
      </c>
    </row>
    <row r="773" spans="1:8">
      <c r="A773">
        <v>772</v>
      </c>
      <c r="B773">
        <v>1</v>
      </c>
      <c r="C773" t="s">
        <v>19</v>
      </c>
      <c r="D773" s="1">
        <v>45602</v>
      </c>
      <c r="E773" t="s">
        <v>26</v>
      </c>
      <c r="F773" t="s">
        <v>18</v>
      </c>
      <c r="G773" t="s">
        <v>20</v>
      </c>
      <c r="H773">
        <v>514.52</v>
      </c>
    </row>
    <row r="774" spans="1:8">
      <c r="A774">
        <v>773</v>
      </c>
      <c r="B774">
        <v>57</v>
      </c>
      <c r="C774" t="s">
        <v>12</v>
      </c>
      <c r="D774" t="s">
        <v>100</v>
      </c>
      <c r="E774" t="s">
        <v>9</v>
      </c>
      <c r="F774" t="s">
        <v>10</v>
      </c>
      <c r="G774" t="s">
        <v>16</v>
      </c>
      <c r="H774">
        <v>552.29999999999995</v>
      </c>
    </row>
    <row r="775" spans="1:8">
      <c r="A775">
        <v>774</v>
      </c>
      <c r="B775">
        <v>35</v>
      </c>
      <c r="C775" t="s">
        <v>8</v>
      </c>
      <c r="D775" t="s">
        <v>98</v>
      </c>
      <c r="E775" t="s">
        <v>26</v>
      </c>
      <c r="F775" t="s">
        <v>18</v>
      </c>
      <c r="G775" t="s">
        <v>20</v>
      </c>
      <c r="H775">
        <v>957.27</v>
      </c>
    </row>
    <row r="776" spans="1:8">
      <c r="A776">
        <v>775</v>
      </c>
      <c r="B776">
        <v>22</v>
      </c>
      <c r="C776" t="s">
        <v>19</v>
      </c>
      <c r="D776" t="s">
        <v>66</v>
      </c>
      <c r="E776" t="s">
        <v>26</v>
      </c>
      <c r="F776" t="s">
        <v>10</v>
      </c>
      <c r="G776" t="s">
        <v>11</v>
      </c>
      <c r="H776">
        <v>379.78</v>
      </c>
    </row>
    <row r="777" spans="1:8">
      <c r="A777">
        <v>776</v>
      </c>
      <c r="B777">
        <v>37</v>
      </c>
      <c r="C777" t="s">
        <v>8</v>
      </c>
      <c r="D777" s="1">
        <v>45327</v>
      </c>
      <c r="E777" t="s">
        <v>26</v>
      </c>
      <c r="F777" t="s">
        <v>10</v>
      </c>
      <c r="G777" t="s">
        <v>16</v>
      </c>
      <c r="H777">
        <v>20.93</v>
      </c>
    </row>
    <row r="778" spans="1:8">
      <c r="A778">
        <v>777</v>
      </c>
      <c r="B778">
        <v>59</v>
      </c>
      <c r="C778" t="s">
        <v>12</v>
      </c>
      <c r="D778" t="s">
        <v>68</v>
      </c>
      <c r="E778" t="s">
        <v>9</v>
      </c>
      <c r="F778" t="s">
        <v>21</v>
      </c>
      <c r="G778" t="s">
        <v>11</v>
      </c>
      <c r="H778">
        <v>698.16</v>
      </c>
    </row>
    <row r="779" spans="1:8">
      <c r="A779">
        <v>778</v>
      </c>
      <c r="B779">
        <v>31</v>
      </c>
      <c r="C779" t="s">
        <v>12</v>
      </c>
      <c r="D779" t="s">
        <v>77</v>
      </c>
      <c r="E779" t="s">
        <v>9</v>
      </c>
      <c r="F779" t="s">
        <v>18</v>
      </c>
      <c r="G779" t="s">
        <v>20</v>
      </c>
      <c r="H779">
        <v>270.7</v>
      </c>
    </row>
    <row r="780" spans="1:8">
      <c r="A780">
        <v>779</v>
      </c>
      <c r="B780">
        <v>71</v>
      </c>
      <c r="C780" t="s">
        <v>8</v>
      </c>
      <c r="D780" t="s">
        <v>96</v>
      </c>
      <c r="E780" t="s">
        <v>15</v>
      </c>
      <c r="F780" t="s">
        <v>18</v>
      </c>
      <c r="G780" t="s">
        <v>20</v>
      </c>
      <c r="H780">
        <v>733.76</v>
      </c>
    </row>
    <row r="781" spans="1:8">
      <c r="A781">
        <v>780</v>
      </c>
      <c r="B781">
        <v>81</v>
      </c>
      <c r="C781" t="s">
        <v>12</v>
      </c>
      <c r="D781" s="1">
        <v>45414</v>
      </c>
      <c r="E781" t="s">
        <v>26</v>
      </c>
      <c r="F781" t="s">
        <v>10</v>
      </c>
      <c r="G781" t="s">
        <v>20</v>
      </c>
      <c r="H781">
        <v>918.81</v>
      </c>
    </row>
    <row r="782" spans="1:8">
      <c r="A782">
        <v>781</v>
      </c>
      <c r="B782">
        <v>10</v>
      </c>
      <c r="C782" t="s">
        <v>19</v>
      </c>
      <c r="D782" t="s">
        <v>108</v>
      </c>
      <c r="E782" t="s">
        <v>9</v>
      </c>
      <c r="F782" t="s">
        <v>10</v>
      </c>
      <c r="G782" t="s">
        <v>20</v>
      </c>
      <c r="H782">
        <v>830.39</v>
      </c>
    </row>
    <row r="783" spans="1:8">
      <c r="A783">
        <v>782</v>
      </c>
      <c r="B783">
        <v>92</v>
      </c>
      <c r="C783" t="s">
        <v>12</v>
      </c>
      <c r="D783" s="1">
        <v>45386</v>
      </c>
      <c r="E783" t="s">
        <v>15</v>
      </c>
      <c r="F783" t="s">
        <v>21</v>
      </c>
      <c r="G783" t="s">
        <v>11</v>
      </c>
      <c r="H783">
        <v>429.08</v>
      </c>
    </row>
    <row r="784" spans="1:8">
      <c r="A784">
        <v>783</v>
      </c>
      <c r="B784">
        <v>73</v>
      </c>
      <c r="C784" t="s">
        <v>19</v>
      </c>
      <c r="D784" s="1">
        <v>45539</v>
      </c>
      <c r="E784" t="s">
        <v>15</v>
      </c>
      <c r="F784" t="s">
        <v>21</v>
      </c>
      <c r="G784" t="s">
        <v>16</v>
      </c>
      <c r="H784">
        <v>800.91</v>
      </c>
    </row>
    <row r="785" spans="1:8">
      <c r="A785">
        <v>784</v>
      </c>
      <c r="B785">
        <v>2</v>
      </c>
      <c r="C785" t="s">
        <v>12</v>
      </c>
      <c r="D785" t="s">
        <v>100</v>
      </c>
      <c r="E785" t="s">
        <v>26</v>
      </c>
      <c r="F785" t="s">
        <v>21</v>
      </c>
      <c r="G785" t="s">
        <v>16</v>
      </c>
      <c r="H785">
        <v>36.5</v>
      </c>
    </row>
    <row r="786" spans="1:8">
      <c r="A786">
        <v>785</v>
      </c>
      <c r="B786">
        <v>63</v>
      </c>
      <c r="C786" t="s">
        <v>19</v>
      </c>
      <c r="D786" s="1">
        <v>45477</v>
      </c>
      <c r="E786" t="s">
        <v>26</v>
      </c>
      <c r="F786" t="s">
        <v>21</v>
      </c>
      <c r="G786" t="s">
        <v>11</v>
      </c>
      <c r="H786">
        <v>861.84</v>
      </c>
    </row>
    <row r="787" spans="1:8">
      <c r="A787">
        <v>786</v>
      </c>
      <c r="B787">
        <v>54</v>
      </c>
      <c r="C787" t="s">
        <v>19</v>
      </c>
      <c r="D787" t="s">
        <v>60</v>
      </c>
      <c r="E787" t="s">
        <v>26</v>
      </c>
      <c r="F787" t="s">
        <v>10</v>
      </c>
      <c r="G787" t="s">
        <v>16</v>
      </c>
      <c r="H787">
        <v>947.21</v>
      </c>
    </row>
    <row r="788" spans="1:8">
      <c r="A788">
        <v>787</v>
      </c>
      <c r="B788">
        <v>36</v>
      </c>
      <c r="C788" t="s">
        <v>12</v>
      </c>
      <c r="D788" t="s">
        <v>105</v>
      </c>
      <c r="E788" t="s">
        <v>26</v>
      </c>
      <c r="F788" t="s">
        <v>10</v>
      </c>
      <c r="G788" t="s">
        <v>20</v>
      </c>
      <c r="H788">
        <v>37.44</v>
      </c>
    </row>
    <row r="789" spans="1:8">
      <c r="A789">
        <v>788</v>
      </c>
      <c r="B789">
        <v>41</v>
      </c>
      <c r="C789" t="s">
        <v>8</v>
      </c>
      <c r="D789" t="s">
        <v>67</v>
      </c>
      <c r="E789" t="s">
        <v>9</v>
      </c>
      <c r="F789" t="s">
        <v>18</v>
      </c>
      <c r="G789" t="s">
        <v>16</v>
      </c>
      <c r="H789">
        <v>571.65</v>
      </c>
    </row>
    <row r="790" spans="1:8">
      <c r="A790">
        <v>789</v>
      </c>
      <c r="B790">
        <v>54</v>
      </c>
      <c r="C790" t="s">
        <v>8</v>
      </c>
      <c r="D790" t="s">
        <v>63</v>
      </c>
      <c r="E790" t="s">
        <v>26</v>
      </c>
      <c r="F790" t="s">
        <v>10</v>
      </c>
      <c r="G790" t="s">
        <v>16</v>
      </c>
      <c r="H790">
        <v>331.32</v>
      </c>
    </row>
    <row r="791" spans="1:8">
      <c r="A791">
        <v>790</v>
      </c>
      <c r="B791">
        <v>3</v>
      </c>
      <c r="C791" t="s">
        <v>8</v>
      </c>
      <c r="D791" s="1">
        <v>45568</v>
      </c>
      <c r="E791" t="s">
        <v>15</v>
      </c>
      <c r="F791" t="s">
        <v>18</v>
      </c>
      <c r="G791" t="s">
        <v>20</v>
      </c>
      <c r="H791">
        <v>212.4</v>
      </c>
    </row>
    <row r="792" spans="1:8">
      <c r="A792">
        <v>791</v>
      </c>
      <c r="B792">
        <v>94</v>
      </c>
      <c r="C792" t="s">
        <v>12</v>
      </c>
      <c r="D792" t="s">
        <v>109</v>
      </c>
      <c r="E792" t="s">
        <v>26</v>
      </c>
      <c r="F792" t="s">
        <v>10</v>
      </c>
      <c r="G792" t="s">
        <v>16</v>
      </c>
      <c r="H792">
        <v>451.46</v>
      </c>
    </row>
    <row r="793" spans="1:8">
      <c r="A793">
        <v>792</v>
      </c>
      <c r="B793">
        <v>99</v>
      </c>
      <c r="C793" t="s">
        <v>12</v>
      </c>
      <c r="D793" s="1">
        <v>45415</v>
      </c>
      <c r="E793" t="s">
        <v>15</v>
      </c>
      <c r="F793" t="s">
        <v>10</v>
      </c>
      <c r="G793" t="s">
        <v>20</v>
      </c>
      <c r="H793">
        <v>948.05</v>
      </c>
    </row>
    <row r="794" spans="1:8">
      <c r="A794">
        <v>793</v>
      </c>
      <c r="B794">
        <v>79</v>
      </c>
      <c r="C794" t="s">
        <v>12</v>
      </c>
      <c r="D794" s="1">
        <v>45478</v>
      </c>
      <c r="E794" t="s">
        <v>9</v>
      </c>
      <c r="F794" t="s">
        <v>21</v>
      </c>
      <c r="G794" t="s">
        <v>11</v>
      </c>
      <c r="H794">
        <v>111.39</v>
      </c>
    </row>
    <row r="795" spans="1:8">
      <c r="A795">
        <v>794</v>
      </c>
      <c r="B795">
        <v>81</v>
      </c>
      <c r="C795" t="s">
        <v>8</v>
      </c>
      <c r="D795" t="s">
        <v>89</v>
      </c>
      <c r="E795" t="s">
        <v>15</v>
      </c>
      <c r="F795" t="s">
        <v>18</v>
      </c>
      <c r="G795" t="s">
        <v>16</v>
      </c>
      <c r="H795">
        <v>281.41000000000003</v>
      </c>
    </row>
    <row r="796" spans="1:8">
      <c r="A796">
        <v>795</v>
      </c>
      <c r="B796">
        <v>83</v>
      </c>
      <c r="C796" t="s">
        <v>8</v>
      </c>
      <c r="D796" s="1">
        <v>45507</v>
      </c>
      <c r="E796" t="s">
        <v>15</v>
      </c>
      <c r="F796" t="s">
        <v>10</v>
      </c>
      <c r="G796" t="s">
        <v>16</v>
      </c>
      <c r="H796">
        <v>866.14</v>
      </c>
    </row>
    <row r="797" spans="1:8">
      <c r="A797">
        <v>796</v>
      </c>
      <c r="B797">
        <v>83</v>
      </c>
      <c r="C797" t="s">
        <v>8</v>
      </c>
      <c r="D797" s="1">
        <v>45509</v>
      </c>
      <c r="E797" t="s">
        <v>9</v>
      </c>
      <c r="F797" t="s">
        <v>10</v>
      </c>
      <c r="G797" t="s">
        <v>11</v>
      </c>
      <c r="H797">
        <v>545.23</v>
      </c>
    </row>
    <row r="798" spans="1:8">
      <c r="A798">
        <v>797</v>
      </c>
      <c r="B798">
        <v>62</v>
      </c>
      <c r="C798" t="s">
        <v>19</v>
      </c>
      <c r="D798" s="1">
        <v>45541</v>
      </c>
      <c r="E798" t="s">
        <v>26</v>
      </c>
      <c r="F798" t="s">
        <v>21</v>
      </c>
      <c r="G798" t="s">
        <v>11</v>
      </c>
      <c r="H798">
        <v>545.72</v>
      </c>
    </row>
    <row r="799" spans="1:8">
      <c r="A799">
        <v>798</v>
      </c>
      <c r="B799">
        <v>77</v>
      </c>
      <c r="C799" t="s">
        <v>12</v>
      </c>
      <c r="D799" s="1">
        <v>45570</v>
      </c>
      <c r="E799" t="s">
        <v>9</v>
      </c>
      <c r="F799" t="s">
        <v>18</v>
      </c>
      <c r="G799" t="s">
        <v>11</v>
      </c>
      <c r="H799">
        <v>395.56</v>
      </c>
    </row>
    <row r="800" spans="1:8">
      <c r="A800">
        <v>799</v>
      </c>
      <c r="B800">
        <v>87</v>
      </c>
      <c r="C800" t="s">
        <v>8</v>
      </c>
      <c r="D800" s="1">
        <v>45510</v>
      </c>
      <c r="E800" t="s">
        <v>9</v>
      </c>
      <c r="F800" t="s">
        <v>21</v>
      </c>
      <c r="G800" t="s">
        <v>20</v>
      </c>
      <c r="H800">
        <v>914.5</v>
      </c>
    </row>
    <row r="801" spans="1:8">
      <c r="A801">
        <v>800</v>
      </c>
      <c r="B801">
        <v>38</v>
      </c>
      <c r="C801" t="s">
        <v>19</v>
      </c>
      <c r="D801" t="s">
        <v>108</v>
      </c>
      <c r="E801" t="s">
        <v>15</v>
      </c>
      <c r="F801" t="s">
        <v>10</v>
      </c>
      <c r="G801" t="s">
        <v>16</v>
      </c>
      <c r="H801">
        <v>339.94</v>
      </c>
    </row>
    <row r="802" spans="1:8">
      <c r="A802">
        <v>801</v>
      </c>
      <c r="B802">
        <v>77</v>
      </c>
      <c r="C802" t="s">
        <v>19</v>
      </c>
      <c r="D802" t="s">
        <v>127</v>
      </c>
      <c r="E802" t="s">
        <v>26</v>
      </c>
      <c r="F802" t="s">
        <v>21</v>
      </c>
      <c r="G802" t="s">
        <v>11</v>
      </c>
      <c r="H802">
        <v>206.92</v>
      </c>
    </row>
    <row r="803" spans="1:8">
      <c r="A803">
        <v>802</v>
      </c>
      <c r="B803">
        <v>98</v>
      </c>
      <c r="C803" t="s">
        <v>12</v>
      </c>
      <c r="D803" t="s">
        <v>98</v>
      </c>
      <c r="E803" t="s">
        <v>9</v>
      </c>
      <c r="F803" t="s">
        <v>21</v>
      </c>
      <c r="G803" t="s">
        <v>11</v>
      </c>
      <c r="H803">
        <v>336.29</v>
      </c>
    </row>
    <row r="804" spans="1:8">
      <c r="A804">
        <v>803</v>
      </c>
      <c r="B804">
        <v>93</v>
      </c>
      <c r="C804" t="s">
        <v>8</v>
      </c>
      <c r="D804" s="1">
        <v>45505</v>
      </c>
      <c r="E804" t="s">
        <v>15</v>
      </c>
      <c r="F804" t="s">
        <v>18</v>
      </c>
      <c r="G804" t="s">
        <v>11</v>
      </c>
      <c r="H804">
        <v>911.03</v>
      </c>
    </row>
    <row r="805" spans="1:8">
      <c r="A805">
        <v>804</v>
      </c>
      <c r="B805">
        <v>13</v>
      </c>
      <c r="C805" t="s">
        <v>8</v>
      </c>
      <c r="D805" s="1">
        <v>45444</v>
      </c>
      <c r="E805" t="s">
        <v>26</v>
      </c>
      <c r="F805" t="s">
        <v>10</v>
      </c>
      <c r="G805" t="s">
        <v>11</v>
      </c>
      <c r="H805">
        <v>720.18</v>
      </c>
    </row>
    <row r="806" spans="1:8">
      <c r="A806">
        <v>805</v>
      </c>
      <c r="B806">
        <v>23</v>
      </c>
      <c r="C806" t="s">
        <v>12</v>
      </c>
      <c r="D806" t="s">
        <v>129</v>
      </c>
      <c r="E806" t="s">
        <v>26</v>
      </c>
      <c r="F806" t="s">
        <v>21</v>
      </c>
      <c r="G806" t="s">
        <v>20</v>
      </c>
      <c r="H806">
        <v>602.51</v>
      </c>
    </row>
    <row r="807" spans="1:8">
      <c r="A807">
        <v>806</v>
      </c>
      <c r="B807">
        <v>22</v>
      </c>
      <c r="C807" t="s">
        <v>12</v>
      </c>
      <c r="D807" s="1">
        <v>45508</v>
      </c>
      <c r="E807" t="s">
        <v>15</v>
      </c>
      <c r="F807" t="s">
        <v>18</v>
      </c>
      <c r="G807" t="s">
        <v>20</v>
      </c>
      <c r="H807">
        <v>996.6</v>
      </c>
    </row>
    <row r="808" spans="1:8">
      <c r="A808">
        <v>807</v>
      </c>
      <c r="B808">
        <v>99</v>
      </c>
      <c r="C808" t="s">
        <v>19</v>
      </c>
      <c r="D808" t="s">
        <v>97</v>
      </c>
      <c r="E808" t="s">
        <v>26</v>
      </c>
      <c r="F808" t="s">
        <v>10</v>
      </c>
      <c r="G808" t="s">
        <v>16</v>
      </c>
      <c r="H808">
        <v>373.64</v>
      </c>
    </row>
    <row r="809" spans="1:8">
      <c r="A809">
        <v>808</v>
      </c>
      <c r="B809">
        <v>99</v>
      </c>
      <c r="C809" t="s">
        <v>19</v>
      </c>
      <c r="D809" t="s">
        <v>100</v>
      </c>
      <c r="E809" t="s">
        <v>9</v>
      </c>
      <c r="F809" t="s">
        <v>10</v>
      </c>
      <c r="G809" t="s">
        <v>11</v>
      </c>
      <c r="H809">
        <v>792.57</v>
      </c>
    </row>
    <row r="810" spans="1:8">
      <c r="A810">
        <v>809</v>
      </c>
      <c r="B810">
        <v>8</v>
      </c>
      <c r="C810" t="s">
        <v>8</v>
      </c>
      <c r="D810" t="s">
        <v>99</v>
      </c>
      <c r="E810" t="s">
        <v>26</v>
      </c>
      <c r="F810" t="s">
        <v>10</v>
      </c>
      <c r="G810" t="s">
        <v>11</v>
      </c>
      <c r="H810">
        <v>956.44</v>
      </c>
    </row>
    <row r="811" spans="1:8">
      <c r="A811">
        <v>810</v>
      </c>
      <c r="B811">
        <v>77</v>
      </c>
      <c r="C811" t="s">
        <v>12</v>
      </c>
      <c r="D811" t="s">
        <v>65</v>
      </c>
      <c r="E811" t="s">
        <v>9</v>
      </c>
      <c r="F811" t="s">
        <v>18</v>
      </c>
      <c r="G811" t="s">
        <v>20</v>
      </c>
      <c r="H811">
        <v>916.1</v>
      </c>
    </row>
    <row r="812" spans="1:8">
      <c r="A812">
        <v>811</v>
      </c>
      <c r="B812">
        <v>7</v>
      </c>
      <c r="C812" t="s">
        <v>12</v>
      </c>
      <c r="D812" t="s">
        <v>40</v>
      </c>
      <c r="E812" t="s">
        <v>26</v>
      </c>
      <c r="F812" t="s">
        <v>21</v>
      </c>
      <c r="G812" t="s">
        <v>11</v>
      </c>
      <c r="H812">
        <v>93.31</v>
      </c>
    </row>
    <row r="813" spans="1:8">
      <c r="A813">
        <v>812</v>
      </c>
      <c r="B813">
        <v>76</v>
      </c>
      <c r="C813" t="s">
        <v>8</v>
      </c>
      <c r="D813" t="s">
        <v>127</v>
      </c>
      <c r="E813" t="s">
        <v>15</v>
      </c>
      <c r="F813" t="s">
        <v>18</v>
      </c>
      <c r="G813" t="s">
        <v>16</v>
      </c>
      <c r="H813">
        <v>576.28</v>
      </c>
    </row>
    <row r="814" spans="1:8">
      <c r="A814">
        <v>813</v>
      </c>
      <c r="B814">
        <v>93</v>
      </c>
      <c r="C814" t="s">
        <v>12</v>
      </c>
      <c r="D814" s="1">
        <v>45448</v>
      </c>
      <c r="E814" t="s">
        <v>26</v>
      </c>
      <c r="F814" t="s">
        <v>10</v>
      </c>
      <c r="G814" t="s">
        <v>11</v>
      </c>
      <c r="H814">
        <v>89.52</v>
      </c>
    </row>
    <row r="815" spans="1:8">
      <c r="A815">
        <v>814</v>
      </c>
      <c r="B815">
        <v>79</v>
      </c>
      <c r="C815" t="s">
        <v>8</v>
      </c>
      <c r="D815" s="1">
        <v>45444</v>
      </c>
      <c r="E815" t="s">
        <v>9</v>
      </c>
      <c r="F815" t="s">
        <v>10</v>
      </c>
      <c r="G815" t="s">
        <v>20</v>
      </c>
      <c r="H815">
        <v>381.12</v>
      </c>
    </row>
    <row r="816" spans="1:8">
      <c r="A816">
        <v>815</v>
      </c>
      <c r="B816">
        <v>65</v>
      </c>
      <c r="C816" t="s">
        <v>8</v>
      </c>
      <c r="D816" t="s">
        <v>90</v>
      </c>
      <c r="E816" t="s">
        <v>26</v>
      </c>
      <c r="F816" t="s">
        <v>21</v>
      </c>
      <c r="G816" t="s">
        <v>11</v>
      </c>
      <c r="H816">
        <v>686.02</v>
      </c>
    </row>
    <row r="817" spans="1:8">
      <c r="A817">
        <v>816</v>
      </c>
      <c r="B817">
        <v>43</v>
      </c>
      <c r="C817" t="s">
        <v>12</v>
      </c>
      <c r="D817" t="s">
        <v>98</v>
      </c>
      <c r="E817" t="s">
        <v>26</v>
      </c>
      <c r="F817" t="s">
        <v>10</v>
      </c>
      <c r="G817" t="s">
        <v>20</v>
      </c>
      <c r="H817">
        <v>585.80999999999995</v>
      </c>
    </row>
    <row r="818" spans="1:8">
      <c r="A818">
        <v>817</v>
      </c>
      <c r="B818">
        <v>96</v>
      </c>
      <c r="C818" t="s">
        <v>8</v>
      </c>
      <c r="D818" t="s">
        <v>104</v>
      </c>
      <c r="E818" t="s">
        <v>15</v>
      </c>
      <c r="F818" t="s">
        <v>18</v>
      </c>
      <c r="G818" t="s">
        <v>16</v>
      </c>
      <c r="H818">
        <v>28.26</v>
      </c>
    </row>
    <row r="819" spans="1:8">
      <c r="A819">
        <v>818</v>
      </c>
      <c r="B819">
        <v>82</v>
      </c>
      <c r="C819" t="s">
        <v>12</v>
      </c>
      <c r="D819" s="1">
        <v>45446</v>
      </c>
      <c r="E819" t="s">
        <v>9</v>
      </c>
      <c r="F819" t="s">
        <v>18</v>
      </c>
      <c r="G819" t="s">
        <v>11</v>
      </c>
      <c r="H819">
        <v>858.99</v>
      </c>
    </row>
    <row r="820" spans="1:8">
      <c r="A820">
        <v>819</v>
      </c>
      <c r="B820">
        <v>63</v>
      </c>
      <c r="C820" t="s">
        <v>19</v>
      </c>
      <c r="D820" t="s">
        <v>117</v>
      </c>
      <c r="E820" t="s">
        <v>26</v>
      </c>
      <c r="F820" t="s">
        <v>18</v>
      </c>
      <c r="G820" t="s">
        <v>16</v>
      </c>
      <c r="H820">
        <v>373.68</v>
      </c>
    </row>
    <row r="821" spans="1:8">
      <c r="A821">
        <v>820</v>
      </c>
      <c r="B821">
        <v>61</v>
      </c>
      <c r="C821" t="s">
        <v>12</v>
      </c>
      <c r="D821" t="s">
        <v>34</v>
      </c>
      <c r="E821" t="s">
        <v>9</v>
      </c>
      <c r="F821" t="s">
        <v>18</v>
      </c>
      <c r="G821" t="s">
        <v>20</v>
      </c>
      <c r="H821">
        <v>937.41</v>
      </c>
    </row>
    <row r="822" spans="1:8">
      <c r="A822">
        <v>821</v>
      </c>
      <c r="B822">
        <v>65</v>
      </c>
      <c r="C822" t="s">
        <v>19</v>
      </c>
      <c r="D822" s="1">
        <v>45598</v>
      </c>
      <c r="E822" t="s">
        <v>26</v>
      </c>
      <c r="F822" t="s">
        <v>21</v>
      </c>
      <c r="G822" t="s">
        <v>11</v>
      </c>
      <c r="H822">
        <v>960.72</v>
      </c>
    </row>
    <row r="823" spans="1:8">
      <c r="A823">
        <v>822</v>
      </c>
      <c r="B823">
        <v>41</v>
      </c>
      <c r="C823" t="s">
        <v>12</v>
      </c>
      <c r="D823" t="s">
        <v>27</v>
      </c>
      <c r="E823" t="s">
        <v>9</v>
      </c>
      <c r="F823" t="s">
        <v>21</v>
      </c>
      <c r="G823" t="s">
        <v>20</v>
      </c>
      <c r="H823">
        <v>988.9</v>
      </c>
    </row>
    <row r="824" spans="1:8">
      <c r="A824">
        <v>823</v>
      </c>
      <c r="B824">
        <v>88</v>
      </c>
      <c r="C824" t="s">
        <v>19</v>
      </c>
      <c r="D824" t="s">
        <v>78</v>
      </c>
      <c r="E824" t="s">
        <v>15</v>
      </c>
      <c r="F824" t="s">
        <v>10</v>
      </c>
      <c r="G824" t="s">
        <v>16</v>
      </c>
      <c r="H824">
        <v>890.34</v>
      </c>
    </row>
    <row r="825" spans="1:8">
      <c r="A825">
        <v>824</v>
      </c>
      <c r="B825">
        <v>45</v>
      </c>
      <c r="C825" t="s">
        <v>8</v>
      </c>
      <c r="D825" t="s">
        <v>107</v>
      </c>
      <c r="E825" t="s">
        <v>9</v>
      </c>
      <c r="F825" t="s">
        <v>10</v>
      </c>
      <c r="G825" t="s">
        <v>16</v>
      </c>
      <c r="H825">
        <v>838.89</v>
      </c>
    </row>
    <row r="826" spans="1:8">
      <c r="A826">
        <v>825</v>
      </c>
      <c r="B826">
        <v>26</v>
      </c>
      <c r="C826" t="s">
        <v>12</v>
      </c>
      <c r="D826" t="s">
        <v>24</v>
      </c>
      <c r="E826" t="s">
        <v>9</v>
      </c>
      <c r="F826" t="s">
        <v>21</v>
      </c>
      <c r="G826" t="s">
        <v>16</v>
      </c>
      <c r="H826">
        <v>90.18</v>
      </c>
    </row>
    <row r="827" spans="1:8">
      <c r="A827">
        <v>826</v>
      </c>
      <c r="B827">
        <v>8</v>
      </c>
      <c r="C827" t="s">
        <v>19</v>
      </c>
      <c r="D827" t="s">
        <v>24</v>
      </c>
      <c r="E827" t="s">
        <v>9</v>
      </c>
      <c r="F827" t="s">
        <v>10</v>
      </c>
      <c r="G827" t="s">
        <v>20</v>
      </c>
      <c r="H827">
        <v>693.38</v>
      </c>
    </row>
    <row r="828" spans="1:8">
      <c r="A828">
        <v>827</v>
      </c>
      <c r="B828">
        <v>96</v>
      </c>
      <c r="C828" t="s">
        <v>19</v>
      </c>
      <c r="D828" t="s">
        <v>51</v>
      </c>
      <c r="E828" t="s">
        <v>9</v>
      </c>
      <c r="F828" t="s">
        <v>10</v>
      </c>
      <c r="G828" t="s">
        <v>20</v>
      </c>
      <c r="H828">
        <v>904.55</v>
      </c>
    </row>
    <row r="829" spans="1:8">
      <c r="A829">
        <v>828</v>
      </c>
      <c r="B829">
        <v>25</v>
      </c>
      <c r="C829" t="s">
        <v>12</v>
      </c>
      <c r="D829" s="1">
        <v>45631</v>
      </c>
      <c r="E829" t="s">
        <v>26</v>
      </c>
      <c r="F829" t="s">
        <v>18</v>
      </c>
      <c r="G829" t="s">
        <v>20</v>
      </c>
      <c r="H829">
        <v>446.66</v>
      </c>
    </row>
    <row r="830" spans="1:8">
      <c r="A830">
        <v>829</v>
      </c>
      <c r="B830">
        <v>90</v>
      </c>
      <c r="C830" t="s">
        <v>19</v>
      </c>
      <c r="D830" s="1">
        <v>45628</v>
      </c>
      <c r="E830" t="s">
        <v>15</v>
      </c>
      <c r="F830" t="s">
        <v>18</v>
      </c>
      <c r="G830" t="s">
        <v>16</v>
      </c>
      <c r="H830">
        <v>561.22</v>
      </c>
    </row>
    <row r="831" spans="1:8">
      <c r="A831">
        <v>830</v>
      </c>
      <c r="B831">
        <v>62</v>
      </c>
      <c r="C831" t="s">
        <v>19</v>
      </c>
      <c r="D831" s="1">
        <v>45630</v>
      </c>
      <c r="E831" t="s">
        <v>26</v>
      </c>
      <c r="F831" t="s">
        <v>21</v>
      </c>
      <c r="G831" t="s">
        <v>11</v>
      </c>
      <c r="H831">
        <v>227.29</v>
      </c>
    </row>
    <row r="832" spans="1:8">
      <c r="A832">
        <v>831</v>
      </c>
      <c r="B832">
        <v>57</v>
      </c>
      <c r="C832" t="s">
        <v>8</v>
      </c>
      <c r="D832" t="s">
        <v>46</v>
      </c>
      <c r="E832" t="s">
        <v>15</v>
      </c>
      <c r="F832" t="s">
        <v>18</v>
      </c>
      <c r="G832" t="s">
        <v>20</v>
      </c>
      <c r="H832">
        <v>129.15</v>
      </c>
    </row>
    <row r="833" spans="1:8">
      <c r="A833">
        <v>832</v>
      </c>
      <c r="B833">
        <v>37</v>
      </c>
      <c r="C833" t="s">
        <v>19</v>
      </c>
      <c r="D833" s="1">
        <v>45328</v>
      </c>
      <c r="E833" t="s">
        <v>26</v>
      </c>
      <c r="F833" t="s">
        <v>18</v>
      </c>
      <c r="G833" t="s">
        <v>16</v>
      </c>
      <c r="H833">
        <v>105.91</v>
      </c>
    </row>
    <row r="834" spans="1:8">
      <c r="A834">
        <v>833</v>
      </c>
      <c r="B834">
        <v>90</v>
      </c>
      <c r="C834" t="s">
        <v>19</v>
      </c>
      <c r="D834" t="s">
        <v>14</v>
      </c>
      <c r="E834" t="s">
        <v>9</v>
      </c>
      <c r="F834" t="s">
        <v>10</v>
      </c>
      <c r="G834" t="s">
        <v>11</v>
      </c>
      <c r="H834">
        <v>833.94</v>
      </c>
    </row>
    <row r="835" spans="1:8">
      <c r="A835">
        <v>834</v>
      </c>
      <c r="B835">
        <v>4</v>
      </c>
      <c r="C835" t="s">
        <v>8</v>
      </c>
      <c r="D835" s="1">
        <v>45539</v>
      </c>
      <c r="E835" t="s">
        <v>15</v>
      </c>
      <c r="F835" t="s">
        <v>21</v>
      </c>
      <c r="G835" t="s">
        <v>16</v>
      </c>
      <c r="H835">
        <v>10.55</v>
      </c>
    </row>
    <row r="836" spans="1:8">
      <c r="A836">
        <v>835</v>
      </c>
      <c r="B836">
        <v>69</v>
      </c>
      <c r="C836" t="s">
        <v>12</v>
      </c>
      <c r="D836" s="1">
        <v>45323</v>
      </c>
      <c r="E836" t="s">
        <v>26</v>
      </c>
      <c r="F836" t="s">
        <v>18</v>
      </c>
      <c r="G836" t="s">
        <v>16</v>
      </c>
      <c r="H836">
        <v>744.8</v>
      </c>
    </row>
    <row r="837" spans="1:8">
      <c r="A837">
        <v>836</v>
      </c>
      <c r="B837">
        <v>95</v>
      </c>
      <c r="C837" t="s">
        <v>8</v>
      </c>
      <c r="D837" s="1">
        <v>45509</v>
      </c>
      <c r="E837" t="s">
        <v>26</v>
      </c>
      <c r="F837" t="s">
        <v>18</v>
      </c>
      <c r="G837" t="s">
        <v>16</v>
      </c>
      <c r="H837">
        <v>114.02</v>
      </c>
    </row>
    <row r="838" spans="1:8">
      <c r="A838">
        <v>837</v>
      </c>
      <c r="B838">
        <v>30</v>
      </c>
      <c r="C838" t="s">
        <v>12</v>
      </c>
      <c r="D838" s="1">
        <v>45568</v>
      </c>
      <c r="E838" t="s">
        <v>26</v>
      </c>
      <c r="F838" t="s">
        <v>10</v>
      </c>
      <c r="G838" t="s">
        <v>20</v>
      </c>
      <c r="H838">
        <v>113.95</v>
      </c>
    </row>
    <row r="839" spans="1:8">
      <c r="A839">
        <v>838</v>
      </c>
      <c r="B839">
        <v>76</v>
      </c>
      <c r="C839" t="s">
        <v>8</v>
      </c>
      <c r="D839" t="s">
        <v>112</v>
      </c>
      <c r="E839" t="s">
        <v>26</v>
      </c>
      <c r="F839" t="s">
        <v>18</v>
      </c>
      <c r="G839" t="s">
        <v>16</v>
      </c>
      <c r="H839">
        <v>390.19</v>
      </c>
    </row>
    <row r="840" spans="1:8">
      <c r="A840">
        <v>839</v>
      </c>
      <c r="B840">
        <v>26</v>
      </c>
      <c r="C840" t="s">
        <v>19</v>
      </c>
      <c r="D840" s="1">
        <v>45601</v>
      </c>
      <c r="E840" t="s">
        <v>26</v>
      </c>
      <c r="F840" t="s">
        <v>18</v>
      </c>
      <c r="G840" t="s">
        <v>16</v>
      </c>
      <c r="H840">
        <v>418.17</v>
      </c>
    </row>
    <row r="841" spans="1:8">
      <c r="A841">
        <v>840</v>
      </c>
      <c r="B841">
        <v>95</v>
      </c>
      <c r="C841" t="s">
        <v>8</v>
      </c>
      <c r="D841" t="s">
        <v>128</v>
      </c>
      <c r="E841" t="s">
        <v>26</v>
      </c>
      <c r="F841" t="s">
        <v>21</v>
      </c>
      <c r="G841" t="s">
        <v>16</v>
      </c>
      <c r="H841">
        <v>536.08000000000004</v>
      </c>
    </row>
    <row r="842" spans="1:8">
      <c r="A842">
        <v>841</v>
      </c>
      <c r="B842">
        <v>49</v>
      </c>
      <c r="C842" t="s">
        <v>8</v>
      </c>
      <c r="D842" t="s">
        <v>67</v>
      </c>
      <c r="E842" t="s">
        <v>9</v>
      </c>
      <c r="F842" t="s">
        <v>10</v>
      </c>
      <c r="G842" t="s">
        <v>20</v>
      </c>
      <c r="H842">
        <v>857.55</v>
      </c>
    </row>
    <row r="843" spans="1:8">
      <c r="A843">
        <v>842</v>
      </c>
      <c r="B843">
        <v>32</v>
      </c>
      <c r="C843" t="s">
        <v>12</v>
      </c>
      <c r="D843" t="s">
        <v>36</v>
      </c>
      <c r="E843" t="s">
        <v>26</v>
      </c>
      <c r="F843" t="s">
        <v>10</v>
      </c>
      <c r="G843" t="s">
        <v>16</v>
      </c>
      <c r="H843">
        <v>800.23</v>
      </c>
    </row>
    <row r="844" spans="1:8">
      <c r="A844">
        <v>843</v>
      </c>
      <c r="B844">
        <v>97</v>
      </c>
      <c r="C844" t="s">
        <v>12</v>
      </c>
      <c r="D844" t="s">
        <v>38</v>
      </c>
      <c r="E844" t="s">
        <v>26</v>
      </c>
      <c r="F844" t="s">
        <v>21</v>
      </c>
      <c r="G844" t="s">
        <v>11</v>
      </c>
      <c r="H844">
        <v>526.92999999999995</v>
      </c>
    </row>
    <row r="845" spans="1:8">
      <c r="A845">
        <v>844</v>
      </c>
      <c r="B845">
        <v>83</v>
      </c>
      <c r="C845" t="s">
        <v>8</v>
      </c>
      <c r="D845" t="s">
        <v>52</v>
      </c>
      <c r="E845" t="s">
        <v>9</v>
      </c>
      <c r="F845" t="s">
        <v>18</v>
      </c>
      <c r="G845" t="s">
        <v>16</v>
      </c>
      <c r="H845">
        <v>97.57</v>
      </c>
    </row>
    <row r="846" spans="1:8">
      <c r="A846">
        <v>845</v>
      </c>
      <c r="B846">
        <v>50</v>
      </c>
      <c r="C846" t="s">
        <v>19</v>
      </c>
      <c r="D846" t="s">
        <v>103</v>
      </c>
      <c r="E846" t="s">
        <v>9</v>
      </c>
      <c r="F846" t="s">
        <v>21</v>
      </c>
      <c r="G846" t="s">
        <v>16</v>
      </c>
      <c r="H846">
        <v>438.29</v>
      </c>
    </row>
    <row r="847" spans="1:8">
      <c r="A847">
        <v>846</v>
      </c>
      <c r="B847">
        <v>48</v>
      </c>
      <c r="C847" t="s">
        <v>8</v>
      </c>
      <c r="D847" t="s">
        <v>42</v>
      </c>
      <c r="E847" t="s">
        <v>15</v>
      </c>
      <c r="F847" t="s">
        <v>10</v>
      </c>
      <c r="G847" t="s">
        <v>20</v>
      </c>
      <c r="H847">
        <v>937.74</v>
      </c>
    </row>
    <row r="848" spans="1:8">
      <c r="A848">
        <v>847</v>
      </c>
      <c r="B848">
        <v>33</v>
      </c>
      <c r="C848" t="s">
        <v>12</v>
      </c>
      <c r="D848" t="s">
        <v>88</v>
      </c>
      <c r="E848" t="s">
        <v>9</v>
      </c>
      <c r="F848" t="s">
        <v>21</v>
      </c>
      <c r="G848" t="s">
        <v>11</v>
      </c>
      <c r="H848">
        <v>261.19</v>
      </c>
    </row>
    <row r="849" spans="1:8">
      <c r="A849">
        <v>848</v>
      </c>
      <c r="B849">
        <v>28</v>
      </c>
      <c r="C849" t="s">
        <v>12</v>
      </c>
      <c r="D849" s="1">
        <v>45296</v>
      </c>
      <c r="E849" t="s">
        <v>9</v>
      </c>
      <c r="F849" t="s">
        <v>18</v>
      </c>
      <c r="G849" t="s">
        <v>11</v>
      </c>
      <c r="H849">
        <v>155.84</v>
      </c>
    </row>
    <row r="850" spans="1:8">
      <c r="A850">
        <v>849</v>
      </c>
      <c r="B850">
        <v>100</v>
      </c>
      <c r="C850" t="s">
        <v>19</v>
      </c>
      <c r="D850" s="1">
        <v>45297</v>
      </c>
      <c r="E850" t="s">
        <v>9</v>
      </c>
      <c r="F850" t="s">
        <v>18</v>
      </c>
      <c r="G850" t="s">
        <v>11</v>
      </c>
      <c r="H850">
        <v>761.38</v>
      </c>
    </row>
    <row r="851" spans="1:8">
      <c r="A851">
        <v>850</v>
      </c>
      <c r="B851">
        <v>10</v>
      </c>
      <c r="C851" t="s">
        <v>8</v>
      </c>
      <c r="D851" t="s">
        <v>60</v>
      </c>
      <c r="E851" t="s">
        <v>9</v>
      </c>
      <c r="F851" t="s">
        <v>21</v>
      </c>
      <c r="G851" t="s">
        <v>16</v>
      </c>
      <c r="H851">
        <v>693.41</v>
      </c>
    </row>
    <row r="852" spans="1:8">
      <c r="A852">
        <v>851</v>
      </c>
      <c r="B852">
        <v>95</v>
      </c>
      <c r="C852" t="s">
        <v>12</v>
      </c>
      <c r="D852" t="s">
        <v>72</v>
      </c>
      <c r="E852" t="s">
        <v>9</v>
      </c>
      <c r="F852" t="s">
        <v>21</v>
      </c>
      <c r="G852" t="s">
        <v>16</v>
      </c>
      <c r="H852">
        <v>319.06</v>
      </c>
    </row>
    <row r="853" spans="1:8">
      <c r="A853">
        <v>852</v>
      </c>
      <c r="B853">
        <v>7</v>
      </c>
      <c r="C853" t="s">
        <v>12</v>
      </c>
      <c r="D853" s="1">
        <v>45325</v>
      </c>
      <c r="E853" t="s">
        <v>15</v>
      </c>
      <c r="F853" t="s">
        <v>21</v>
      </c>
      <c r="G853" t="s">
        <v>11</v>
      </c>
      <c r="H853">
        <v>451.5</v>
      </c>
    </row>
    <row r="854" spans="1:8">
      <c r="A854">
        <v>853</v>
      </c>
      <c r="B854">
        <v>12</v>
      </c>
      <c r="C854" t="s">
        <v>8</v>
      </c>
      <c r="D854" s="1">
        <v>45417</v>
      </c>
      <c r="E854" t="s">
        <v>26</v>
      </c>
      <c r="F854" t="s">
        <v>21</v>
      </c>
      <c r="G854" t="s">
        <v>16</v>
      </c>
      <c r="H854">
        <v>497.38</v>
      </c>
    </row>
    <row r="855" spans="1:8">
      <c r="A855">
        <v>854</v>
      </c>
      <c r="B855">
        <v>14</v>
      </c>
      <c r="C855" t="s">
        <v>12</v>
      </c>
      <c r="D855" t="s">
        <v>65</v>
      </c>
      <c r="E855" t="s">
        <v>26</v>
      </c>
      <c r="F855" t="s">
        <v>10</v>
      </c>
      <c r="G855" t="s">
        <v>11</v>
      </c>
      <c r="H855">
        <v>556.73</v>
      </c>
    </row>
    <row r="856" spans="1:8">
      <c r="A856">
        <v>855</v>
      </c>
      <c r="B856">
        <v>31</v>
      </c>
      <c r="C856" t="s">
        <v>19</v>
      </c>
      <c r="D856" s="1">
        <v>45475</v>
      </c>
      <c r="E856" t="s">
        <v>9</v>
      </c>
      <c r="F856" t="s">
        <v>18</v>
      </c>
      <c r="G856" t="s">
        <v>11</v>
      </c>
      <c r="H856">
        <v>414.41</v>
      </c>
    </row>
    <row r="857" spans="1:8">
      <c r="A857">
        <v>856</v>
      </c>
      <c r="B857">
        <v>20</v>
      </c>
      <c r="C857" t="s">
        <v>8</v>
      </c>
      <c r="D857" s="1">
        <v>45293</v>
      </c>
      <c r="E857" t="s">
        <v>26</v>
      </c>
      <c r="F857" t="s">
        <v>18</v>
      </c>
      <c r="G857" t="s">
        <v>20</v>
      </c>
      <c r="H857">
        <v>450.18</v>
      </c>
    </row>
    <row r="858" spans="1:8">
      <c r="A858">
        <v>857</v>
      </c>
      <c r="B858">
        <v>49</v>
      </c>
      <c r="C858" t="s">
        <v>12</v>
      </c>
      <c r="D858" s="1">
        <v>45569</v>
      </c>
      <c r="E858" t="s">
        <v>9</v>
      </c>
      <c r="F858" t="s">
        <v>21</v>
      </c>
      <c r="G858" t="s">
        <v>16</v>
      </c>
      <c r="H858">
        <v>992.76</v>
      </c>
    </row>
    <row r="859" spans="1:8">
      <c r="A859">
        <v>858</v>
      </c>
      <c r="B859">
        <v>51</v>
      </c>
      <c r="C859" t="s">
        <v>8</v>
      </c>
      <c r="D859" s="1">
        <v>45631</v>
      </c>
      <c r="E859" t="s">
        <v>26</v>
      </c>
      <c r="F859" t="s">
        <v>10</v>
      </c>
      <c r="G859" t="s">
        <v>11</v>
      </c>
      <c r="H859">
        <v>797.39</v>
      </c>
    </row>
    <row r="860" spans="1:8">
      <c r="A860">
        <v>859</v>
      </c>
      <c r="B860">
        <v>25</v>
      </c>
      <c r="C860" t="s">
        <v>19</v>
      </c>
      <c r="D860" t="s">
        <v>75</v>
      </c>
      <c r="E860" t="s">
        <v>15</v>
      </c>
      <c r="F860" t="s">
        <v>10</v>
      </c>
      <c r="G860" t="s">
        <v>20</v>
      </c>
      <c r="H860">
        <v>651.04</v>
      </c>
    </row>
    <row r="861" spans="1:8">
      <c r="A861">
        <v>860</v>
      </c>
      <c r="B861">
        <v>10</v>
      </c>
      <c r="C861" t="s">
        <v>8</v>
      </c>
      <c r="D861" t="s">
        <v>60</v>
      </c>
      <c r="E861" t="s">
        <v>9</v>
      </c>
      <c r="F861" t="s">
        <v>21</v>
      </c>
      <c r="G861" t="s">
        <v>11</v>
      </c>
      <c r="H861">
        <v>862.64</v>
      </c>
    </row>
    <row r="862" spans="1:8">
      <c r="A862">
        <v>861</v>
      </c>
      <c r="B862">
        <v>51</v>
      </c>
      <c r="C862" t="s">
        <v>8</v>
      </c>
      <c r="D862" s="1">
        <v>45597</v>
      </c>
      <c r="E862" t="s">
        <v>26</v>
      </c>
      <c r="F862" t="s">
        <v>18</v>
      </c>
      <c r="G862" t="s">
        <v>16</v>
      </c>
      <c r="H862">
        <v>915.73</v>
      </c>
    </row>
    <row r="863" spans="1:8">
      <c r="A863">
        <v>862</v>
      </c>
      <c r="B863">
        <v>63</v>
      </c>
      <c r="C863" t="s">
        <v>8</v>
      </c>
      <c r="D863" t="s">
        <v>128</v>
      </c>
      <c r="E863" t="s">
        <v>9</v>
      </c>
      <c r="F863" t="s">
        <v>18</v>
      </c>
      <c r="G863" t="s">
        <v>11</v>
      </c>
      <c r="H863">
        <v>445.47</v>
      </c>
    </row>
    <row r="864" spans="1:8">
      <c r="A864">
        <v>863</v>
      </c>
      <c r="B864">
        <v>46</v>
      </c>
      <c r="C864" t="s">
        <v>12</v>
      </c>
      <c r="D864" t="s">
        <v>122</v>
      </c>
      <c r="E864" t="s">
        <v>26</v>
      </c>
      <c r="F864" t="s">
        <v>18</v>
      </c>
      <c r="G864" t="s">
        <v>16</v>
      </c>
      <c r="H864">
        <v>789.92</v>
      </c>
    </row>
    <row r="865" spans="1:8">
      <c r="A865">
        <v>864</v>
      </c>
      <c r="B865">
        <v>95</v>
      </c>
      <c r="C865" t="s">
        <v>19</v>
      </c>
      <c r="D865" s="1">
        <v>45352</v>
      </c>
      <c r="E865" t="s">
        <v>9</v>
      </c>
      <c r="F865" t="s">
        <v>18</v>
      </c>
      <c r="G865" t="s">
        <v>20</v>
      </c>
      <c r="H865">
        <v>951.99</v>
      </c>
    </row>
    <row r="866" spans="1:8">
      <c r="A866">
        <v>865</v>
      </c>
      <c r="B866">
        <v>97</v>
      </c>
      <c r="C866" t="s">
        <v>8</v>
      </c>
      <c r="D866" t="s">
        <v>112</v>
      </c>
      <c r="E866" t="s">
        <v>26</v>
      </c>
      <c r="F866" t="s">
        <v>18</v>
      </c>
      <c r="G866" t="s">
        <v>11</v>
      </c>
      <c r="H866">
        <v>345.34</v>
      </c>
    </row>
    <row r="867" spans="1:8">
      <c r="A867">
        <v>866</v>
      </c>
      <c r="B867">
        <v>99</v>
      </c>
      <c r="C867" t="s">
        <v>19</v>
      </c>
      <c r="D867" t="s">
        <v>70</v>
      </c>
      <c r="E867" t="s">
        <v>26</v>
      </c>
      <c r="F867" t="s">
        <v>10</v>
      </c>
      <c r="G867" t="s">
        <v>11</v>
      </c>
      <c r="H867">
        <v>119.16</v>
      </c>
    </row>
    <row r="868" spans="1:8">
      <c r="A868">
        <v>867</v>
      </c>
      <c r="B868">
        <v>9</v>
      </c>
      <c r="C868" t="s">
        <v>19</v>
      </c>
      <c r="D868" t="s">
        <v>122</v>
      </c>
      <c r="E868" t="s">
        <v>26</v>
      </c>
      <c r="F868" t="s">
        <v>10</v>
      </c>
      <c r="G868" t="s">
        <v>16</v>
      </c>
      <c r="H868">
        <v>649.87</v>
      </c>
    </row>
    <row r="869" spans="1:8">
      <c r="A869">
        <v>868</v>
      </c>
      <c r="B869">
        <v>38</v>
      </c>
      <c r="C869" t="s">
        <v>19</v>
      </c>
      <c r="D869" s="1">
        <v>45570</v>
      </c>
      <c r="E869" t="s">
        <v>26</v>
      </c>
      <c r="F869" t="s">
        <v>18</v>
      </c>
      <c r="G869" t="s">
        <v>20</v>
      </c>
      <c r="H869">
        <v>141.43</v>
      </c>
    </row>
    <row r="870" spans="1:8">
      <c r="A870">
        <v>869</v>
      </c>
      <c r="B870">
        <v>55</v>
      </c>
      <c r="C870" t="s">
        <v>12</v>
      </c>
      <c r="D870" s="1">
        <v>45510</v>
      </c>
      <c r="E870" t="s">
        <v>26</v>
      </c>
      <c r="F870" t="s">
        <v>18</v>
      </c>
      <c r="G870" t="s">
        <v>20</v>
      </c>
      <c r="H870">
        <v>753.6</v>
      </c>
    </row>
    <row r="871" spans="1:8">
      <c r="A871">
        <v>870</v>
      </c>
      <c r="B871">
        <v>39</v>
      </c>
      <c r="C871" t="s">
        <v>8</v>
      </c>
      <c r="D871" s="1">
        <v>45387</v>
      </c>
      <c r="E871" t="s">
        <v>15</v>
      </c>
      <c r="F871" t="s">
        <v>18</v>
      </c>
      <c r="G871" t="s">
        <v>11</v>
      </c>
      <c r="H871">
        <v>210.03</v>
      </c>
    </row>
    <row r="872" spans="1:8">
      <c r="A872">
        <v>871</v>
      </c>
      <c r="B872">
        <v>59</v>
      </c>
      <c r="C872" t="s">
        <v>8</v>
      </c>
      <c r="D872" t="s">
        <v>115</v>
      </c>
      <c r="E872" t="s">
        <v>26</v>
      </c>
      <c r="F872" t="s">
        <v>18</v>
      </c>
      <c r="G872" t="s">
        <v>20</v>
      </c>
      <c r="H872">
        <v>992.01</v>
      </c>
    </row>
    <row r="873" spans="1:8">
      <c r="A873">
        <v>872</v>
      </c>
      <c r="B873">
        <v>1</v>
      </c>
      <c r="C873" t="s">
        <v>12</v>
      </c>
      <c r="D873" t="s">
        <v>57</v>
      </c>
      <c r="E873" t="s">
        <v>15</v>
      </c>
      <c r="F873" t="s">
        <v>10</v>
      </c>
      <c r="G873" t="s">
        <v>16</v>
      </c>
      <c r="H873">
        <v>148.15</v>
      </c>
    </row>
    <row r="874" spans="1:8">
      <c r="A874">
        <v>873</v>
      </c>
      <c r="B874">
        <v>5</v>
      </c>
      <c r="C874" t="s">
        <v>12</v>
      </c>
      <c r="D874" s="1">
        <v>45413</v>
      </c>
      <c r="E874" t="s">
        <v>26</v>
      </c>
      <c r="F874" t="s">
        <v>18</v>
      </c>
      <c r="G874" t="s">
        <v>11</v>
      </c>
      <c r="H874">
        <v>577.39</v>
      </c>
    </row>
    <row r="875" spans="1:8">
      <c r="A875">
        <v>874</v>
      </c>
      <c r="B875">
        <v>1</v>
      </c>
      <c r="C875" t="s">
        <v>19</v>
      </c>
      <c r="D875" t="s">
        <v>74</v>
      </c>
      <c r="E875" t="s">
        <v>26</v>
      </c>
      <c r="F875" t="s">
        <v>18</v>
      </c>
      <c r="G875" t="s">
        <v>11</v>
      </c>
      <c r="H875">
        <v>98.45</v>
      </c>
    </row>
    <row r="876" spans="1:8">
      <c r="A876">
        <v>875</v>
      </c>
      <c r="B876">
        <v>81</v>
      </c>
      <c r="C876" t="s">
        <v>8</v>
      </c>
      <c r="D876" t="s">
        <v>113</v>
      </c>
      <c r="E876" t="s">
        <v>9</v>
      </c>
      <c r="F876" t="s">
        <v>21</v>
      </c>
      <c r="G876" t="s">
        <v>20</v>
      </c>
      <c r="H876">
        <v>734.65</v>
      </c>
    </row>
    <row r="877" spans="1:8">
      <c r="A877">
        <v>876</v>
      </c>
      <c r="B877">
        <v>31</v>
      </c>
      <c r="C877" t="s">
        <v>19</v>
      </c>
      <c r="D877" t="s">
        <v>104</v>
      </c>
      <c r="E877" t="s">
        <v>26</v>
      </c>
      <c r="F877" t="s">
        <v>18</v>
      </c>
      <c r="G877" t="s">
        <v>20</v>
      </c>
      <c r="H877">
        <v>485.93</v>
      </c>
    </row>
    <row r="878" spans="1:8">
      <c r="A878">
        <v>877</v>
      </c>
      <c r="B878">
        <v>67</v>
      </c>
      <c r="C878" t="s">
        <v>8</v>
      </c>
      <c r="D878" s="1">
        <v>45384</v>
      </c>
      <c r="E878" t="s">
        <v>9</v>
      </c>
      <c r="F878" t="s">
        <v>10</v>
      </c>
      <c r="G878" t="s">
        <v>16</v>
      </c>
      <c r="H878">
        <v>505.47</v>
      </c>
    </row>
    <row r="879" spans="1:8">
      <c r="A879">
        <v>878</v>
      </c>
      <c r="B879">
        <v>13</v>
      </c>
      <c r="C879" t="s">
        <v>12</v>
      </c>
      <c r="D879" t="s">
        <v>57</v>
      </c>
      <c r="E879" t="s">
        <v>15</v>
      </c>
      <c r="F879" t="s">
        <v>18</v>
      </c>
      <c r="G879" t="s">
        <v>16</v>
      </c>
      <c r="H879">
        <v>769.34</v>
      </c>
    </row>
    <row r="880" spans="1:8">
      <c r="A880">
        <v>879</v>
      </c>
      <c r="B880">
        <v>37</v>
      </c>
      <c r="C880" t="s">
        <v>8</v>
      </c>
      <c r="D880" s="1">
        <v>45599</v>
      </c>
      <c r="E880" t="s">
        <v>15</v>
      </c>
      <c r="F880" t="s">
        <v>21</v>
      </c>
      <c r="G880" t="s">
        <v>20</v>
      </c>
      <c r="H880">
        <v>939.94</v>
      </c>
    </row>
    <row r="881" spans="1:8">
      <c r="A881">
        <v>880</v>
      </c>
      <c r="B881">
        <v>91</v>
      </c>
      <c r="C881" t="s">
        <v>19</v>
      </c>
      <c r="D881" t="s">
        <v>74</v>
      </c>
      <c r="E881" t="s">
        <v>26</v>
      </c>
      <c r="F881" t="s">
        <v>10</v>
      </c>
      <c r="G881" t="s">
        <v>11</v>
      </c>
      <c r="H881">
        <v>18.7</v>
      </c>
    </row>
    <row r="882" spans="1:8">
      <c r="A882">
        <v>881</v>
      </c>
      <c r="B882">
        <v>26</v>
      </c>
      <c r="C882" t="s">
        <v>12</v>
      </c>
      <c r="D882" t="s">
        <v>63</v>
      </c>
      <c r="E882" t="s">
        <v>15</v>
      </c>
      <c r="F882" t="s">
        <v>10</v>
      </c>
      <c r="G882" t="s">
        <v>16</v>
      </c>
      <c r="H882">
        <v>892.85</v>
      </c>
    </row>
    <row r="883" spans="1:8">
      <c r="A883">
        <v>882</v>
      </c>
      <c r="B883">
        <v>39</v>
      </c>
      <c r="C883" t="s">
        <v>12</v>
      </c>
      <c r="D883" t="s">
        <v>31</v>
      </c>
      <c r="E883" t="s">
        <v>9</v>
      </c>
      <c r="F883" t="s">
        <v>21</v>
      </c>
      <c r="G883" t="s">
        <v>16</v>
      </c>
      <c r="H883">
        <v>85.21</v>
      </c>
    </row>
    <row r="884" spans="1:8">
      <c r="A884">
        <v>883</v>
      </c>
      <c r="B884">
        <v>35</v>
      </c>
      <c r="C884" t="s">
        <v>12</v>
      </c>
      <c r="D884" s="1">
        <v>45449</v>
      </c>
      <c r="E884" t="s">
        <v>9</v>
      </c>
      <c r="F884" t="s">
        <v>10</v>
      </c>
      <c r="G884" t="s">
        <v>11</v>
      </c>
      <c r="H884">
        <v>20.83</v>
      </c>
    </row>
    <row r="885" spans="1:8">
      <c r="A885">
        <v>884</v>
      </c>
      <c r="B885">
        <v>4</v>
      </c>
      <c r="C885" t="s">
        <v>19</v>
      </c>
      <c r="D885" s="1">
        <v>45295</v>
      </c>
      <c r="E885" t="s">
        <v>15</v>
      </c>
      <c r="F885" t="s">
        <v>10</v>
      </c>
      <c r="G885" t="s">
        <v>20</v>
      </c>
      <c r="H885">
        <v>800.02</v>
      </c>
    </row>
    <row r="886" spans="1:8">
      <c r="A886">
        <v>885</v>
      </c>
      <c r="B886">
        <v>28</v>
      </c>
      <c r="C886" t="s">
        <v>19</v>
      </c>
      <c r="D886" s="1">
        <v>45479</v>
      </c>
      <c r="E886" t="s">
        <v>26</v>
      </c>
      <c r="F886" t="s">
        <v>18</v>
      </c>
      <c r="G886" t="s">
        <v>11</v>
      </c>
      <c r="H886">
        <v>525.36</v>
      </c>
    </row>
    <row r="887" spans="1:8">
      <c r="A887">
        <v>886</v>
      </c>
      <c r="B887">
        <v>4</v>
      </c>
      <c r="C887" t="s">
        <v>8</v>
      </c>
      <c r="D887" t="s">
        <v>110</v>
      </c>
      <c r="E887" t="s">
        <v>26</v>
      </c>
      <c r="F887" t="s">
        <v>10</v>
      </c>
      <c r="G887" t="s">
        <v>11</v>
      </c>
      <c r="H887">
        <v>164.46</v>
      </c>
    </row>
    <row r="888" spans="1:8">
      <c r="A888">
        <v>887</v>
      </c>
      <c r="B888">
        <v>95</v>
      </c>
      <c r="C888" t="s">
        <v>8</v>
      </c>
      <c r="D888" t="s">
        <v>85</v>
      </c>
      <c r="E888" t="s">
        <v>9</v>
      </c>
      <c r="F888" t="s">
        <v>21</v>
      </c>
      <c r="G888" t="s">
        <v>20</v>
      </c>
      <c r="H888">
        <v>452.93</v>
      </c>
    </row>
    <row r="889" spans="1:8">
      <c r="A889">
        <v>888</v>
      </c>
      <c r="B889">
        <v>17</v>
      </c>
      <c r="C889" t="s">
        <v>19</v>
      </c>
      <c r="D889" t="s">
        <v>53</v>
      </c>
      <c r="E889" t="s">
        <v>9</v>
      </c>
      <c r="F889" t="s">
        <v>18</v>
      </c>
      <c r="G889" t="s">
        <v>16</v>
      </c>
      <c r="H889">
        <v>729.83</v>
      </c>
    </row>
    <row r="890" spans="1:8">
      <c r="A890">
        <v>889</v>
      </c>
      <c r="B890">
        <v>52</v>
      </c>
      <c r="C890" t="s">
        <v>12</v>
      </c>
      <c r="D890" s="1">
        <v>45417</v>
      </c>
      <c r="E890" t="s">
        <v>9</v>
      </c>
      <c r="F890" t="s">
        <v>21</v>
      </c>
      <c r="G890" t="s">
        <v>16</v>
      </c>
      <c r="H890">
        <v>138.24</v>
      </c>
    </row>
    <row r="891" spans="1:8">
      <c r="A891">
        <v>890</v>
      </c>
      <c r="B891">
        <v>49</v>
      </c>
      <c r="C891" t="s">
        <v>8</v>
      </c>
      <c r="D891" s="1">
        <v>45418</v>
      </c>
      <c r="E891" t="s">
        <v>15</v>
      </c>
      <c r="F891" t="s">
        <v>10</v>
      </c>
      <c r="G891" t="s">
        <v>16</v>
      </c>
      <c r="H891">
        <v>901.01</v>
      </c>
    </row>
    <row r="892" spans="1:8">
      <c r="A892">
        <v>891</v>
      </c>
      <c r="B892">
        <v>90</v>
      </c>
      <c r="C892" t="s">
        <v>12</v>
      </c>
      <c r="D892" t="s">
        <v>126</v>
      </c>
      <c r="E892" t="s">
        <v>15</v>
      </c>
      <c r="F892" t="s">
        <v>10</v>
      </c>
      <c r="G892" t="s">
        <v>20</v>
      </c>
      <c r="H892">
        <v>780.69</v>
      </c>
    </row>
    <row r="893" spans="1:8">
      <c r="A893">
        <v>892</v>
      </c>
      <c r="B893">
        <v>4</v>
      </c>
      <c r="C893" t="s">
        <v>8</v>
      </c>
      <c r="D893" s="1">
        <v>45631</v>
      </c>
      <c r="E893" t="s">
        <v>15</v>
      </c>
      <c r="F893" t="s">
        <v>18</v>
      </c>
      <c r="G893" t="s">
        <v>16</v>
      </c>
      <c r="H893">
        <v>280.56</v>
      </c>
    </row>
    <row r="894" spans="1:8">
      <c r="A894">
        <v>893</v>
      </c>
      <c r="B894">
        <v>64</v>
      </c>
      <c r="C894" t="s">
        <v>8</v>
      </c>
      <c r="D894" s="1">
        <v>45477</v>
      </c>
      <c r="E894" t="s">
        <v>26</v>
      </c>
      <c r="F894" t="s">
        <v>10</v>
      </c>
      <c r="G894" t="s">
        <v>20</v>
      </c>
      <c r="H894">
        <v>437.25</v>
      </c>
    </row>
    <row r="895" spans="1:8">
      <c r="A895">
        <v>894</v>
      </c>
      <c r="B895">
        <v>73</v>
      </c>
      <c r="C895" t="s">
        <v>8</v>
      </c>
      <c r="D895" t="s">
        <v>50</v>
      </c>
      <c r="E895" t="s">
        <v>26</v>
      </c>
      <c r="F895" t="s">
        <v>10</v>
      </c>
      <c r="G895" t="s">
        <v>20</v>
      </c>
      <c r="H895">
        <v>902.78</v>
      </c>
    </row>
    <row r="896" spans="1:8">
      <c r="A896">
        <v>895</v>
      </c>
      <c r="B896">
        <v>64</v>
      </c>
      <c r="C896" t="s">
        <v>8</v>
      </c>
      <c r="D896" s="1">
        <v>45536</v>
      </c>
      <c r="E896" t="s">
        <v>15</v>
      </c>
      <c r="F896" t="s">
        <v>10</v>
      </c>
      <c r="G896" t="s">
        <v>11</v>
      </c>
      <c r="H896">
        <v>687.38</v>
      </c>
    </row>
    <row r="897" spans="1:8">
      <c r="A897">
        <v>896</v>
      </c>
      <c r="B897">
        <v>64</v>
      </c>
      <c r="C897" t="s">
        <v>8</v>
      </c>
      <c r="D897" t="s">
        <v>39</v>
      </c>
      <c r="E897" t="s">
        <v>15</v>
      </c>
      <c r="F897" t="s">
        <v>10</v>
      </c>
      <c r="G897" t="s">
        <v>20</v>
      </c>
      <c r="H897">
        <v>436.79</v>
      </c>
    </row>
    <row r="898" spans="1:8">
      <c r="A898">
        <v>897</v>
      </c>
      <c r="B898">
        <v>56</v>
      </c>
      <c r="C898" t="s">
        <v>12</v>
      </c>
      <c r="D898" t="s">
        <v>40</v>
      </c>
      <c r="E898" t="s">
        <v>15</v>
      </c>
      <c r="F898" t="s">
        <v>10</v>
      </c>
      <c r="G898" t="s">
        <v>20</v>
      </c>
      <c r="H898">
        <v>991.95</v>
      </c>
    </row>
    <row r="899" spans="1:8">
      <c r="A899">
        <v>898</v>
      </c>
      <c r="B899">
        <v>58</v>
      </c>
      <c r="C899" t="s">
        <v>8</v>
      </c>
      <c r="D899" t="s">
        <v>66</v>
      </c>
      <c r="E899" t="s">
        <v>26</v>
      </c>
      <c r="F899" t="s">
        <v>21</v>
      </c>
      <c r="G899" t="s">
        <v>20</v>
      </c>
      <c r="H899">
        <v>247.97</v>
      </c>
    </row>
    <row r="900" spans="1:8">
      <c r="A900">
        <v>899</v>
      </c>
      <c r="B900">
        <v>65</v>
      </c>
      <c r="C900" t="s">
        <v>19</v>
      </c>
      <c r="D900" t="s">
        <v>122</v>
      </c>
      <c r="E900" t="s">
        <v>9</v>
      </c>
      <c r="F900" t="s">
        <v>18</v>
      </c>
      <c r="G900" t="s">
        <v>20</v>
      </c>
      <c r="H900">
        <v>895.77</v>
      </c>
    </row>
    <row r="901" spans="1:8">
      <c r="A901">
        <v>900</v>
      </c>
      <c r="B901">
        <v>84</v>
      </c>
      <c r="C901" t="s">
        <v>12</v>
      </c>
      <c r="D901" t="s">
        <v>128</v>
      </c>
      <c r="E901" t="s">
        <v>26</v>
      </c>
      <c r="F901" t="s">
        <v>18</v>
      </c>
      <c r="G901" t="s">
        <v>20</v>
      </c>
      <c r="H901">
        <v>628.29</v>
      </c>
    </row>
    <row r="902" spans="1:8">
      <c r="A902">
        <v>901</v>
      </c>
      <c r="B902">
        <v>27</v>
      </c>
      <c r="C902" t="s">
        <v>19</v>
      </c>
      <c r="D902" t="s">
        <v>72</v>
      </c>
      <c r="E902" t="s">
        <v>15</v>
      </c>
      <c r="F902" t="s">
        <v>18</v>
      </c>
      <c r="G902" t="s">
        <v>20</v>
      </c>
      <c r="H902">
        <v>40.799999999999997</v>
      </c>
    </row>
    <row r="903" spans="1:8">
      <c r="A903">
        <v>902</v>
      </c>
      <c r="B903">
        <v>60</v>
      </c>
      <c r="C903" t="s">
        <v>8</v>
      </c>
      <c r="D903" s="1">
        <v>45629</v>
      </c>
      <c r="E903" t="s">
        <v>9</v>
      </c>
      <c r="F903" t="s">
        <v>10</v>
      </c>
      <c r="G903" t="s">
        <v>20</v>
      </c>
      <c r="H903">
        <v>709.87</v>
      </c>
    </row>
    <row r="904" spans="1:8">
      <c r="A904">
        <v>903</v>
      </c>
      <c r="B904">
        <v>88</v>
      </c>
      <c r="C904" t="s">
        <v>12</v>
      </c>
      <c r="D904" t="s">
        <v>54</v>
      </c>
      <c r="E904" t="s">
        <v>26</v>
      </c>
      <c r="F904" t="s">
        <v>10</v>
      </c>
      <c r="G904" t="s">
        <v>16</v>
      </c>
      <c r="H904">
        <v>450.31</v>
      </c>
    </row>
    <row r="905" spans="1:8">
      <c r="A905">
        <v>904</v>
      </c>
      <c r="B905">
        <v>4</v>
      </c>
      <c r="C905" t="s">
        <v>19</v>
      </c>
      <c r="D905" s="1">
        <v>45508</v>
      </c>
      <c r="E905" t="s">
        <v>26</v>
      </c>
      <c r="F905" t="s">
        <v>21</v>
      </c>
      <c r="G905" t="s">
        <v>11</v>
      </c>
      <c r="H905">
        <v>577.20000000000005</v>
      </c>
    </row>
    <row r="906" spans="1:8">
      <c r="A906">
        <v>905</v>
      </c>
      <c r="B906">
        <v>100</v>
      </c>
      <c r="C906" t="s">
        <v>12</v>
      </c>
      <c r="D906" s="1">
        <v>45475</v>
      </c>
      <c r="E906" t="s">
        <v>26</v>
      </c>
      <c r="F906" t="s">
        <v>10</v>
      </c>
      <c r="G906" t="s">
        <v>20</v>
      </c>
      <c r="H906">
        <v>431.46</v>
      </c>
    </row>
    <row r="907" spans="1:8">
      <c r="A907">
        <v>906</v>
      </c>
      <c r="B907">
        <v>6</v>
      </c>
      <c r="C907" t="s">
        <v>8</v>
      </c>
      <c r="D907" t="s">
        <v>67</v>
      </c>
      <c r="E907" t="s">
        <v>26</v>
      </c>
      <c r="F907" t="s">
        <v>18</v>
      </c>
      <c r="G907" t="s">
        <v>11</v>
      </c>
      <c r="H907">
        <v>62.68</v>
      </c>
    </row>
    <row r="908" spans="1:8">
      <c r="A908">
        <v>907</v>
      </c>
      <c r="B908">
        <v>4</v>
      </c>
      <c r="C908" t="s">
        <v>8</v>
      </c>
      <c r="D908" t="s">
        <v>128</v>
      </c>
      <c r="E908" t="s">
        <v>9</v>
      </c>
      <c r="F908" t="s">
        <v>10</v>
      </c>
      <c r="G908" t="s">
        <v>11</v>
      </c>
      <c r="H908">
        <v>988.05</v>
      </c>
    </row>
    <row r="909" spans="1:8">
      <c r="A909">
        <v>908</v>
      </c>
      <c r="B909">
        <v>31</v>
      </c>
      <c r="C909" t="s">
        <v>12</v>
      </c>
      <c r="D909" t="s">
        <v>46</v>
      </c>
      <c r="E909" t="s">
        <v>9</v>
      </c>
      <c r="F909" t="s">
        <v>21</v>
      </c>
      <c r="G909" t="s">
        <v>20</v>
      </c>
      <c r="H909">
        <v>156.46</v>
      </c>
    </row>
    <row r="910" spans="1:8">
      <c r="A910">
        <v>909</v>
      </c>
      <c r="B910">
        <v>6</v>
      </c>
      <c r="C910" t="s">
        <v>12</v>
      </c>
      <c r="D910" s="1">
        <v>45507</v>
      </c>
      <c r="E910" t="s">
        <v>9</v>
      </c>
      <c r="F910" t="s">
        <v>18</v>
      </c>
      <c r="G910" t="s">
        <v>11</v>
      </c>
      <c r="H910">
        <v>32.9</v>
      </c>
    </row>
    <row r="911" spans="1:8">
      <c r="A911">
        <v>910</v>
      </c>
      <c r="B911">
        <v>43</v>
      </c>
      <c r="C911" t="s">
        <v>12</v>
      </c>
      <c r="D911" t="s">
        <v>87</v>
      </c>
      <c r="E911" t="s">
        <v>26</v>
      </c>
      <c r="F911" t="s">
        <v>21</v>
      </c>
      <c r="G911" t="s">
        <v>20</v>
      </c>
      <c r="H911">
        <v>443.75</v>
      </c>
    </row>
    <row r="912" spans="1:8">
      <c r="A912">
        <v>911</v>
      </c>
      <c r="B912">
        <v>82</v>
      </c>
      <c r="C912" t="s">
        <v>12</v>
      </c>
      <c r="D912" s="1">
        <v>45479</v>
      </c>
      <c r="E912" t="s">
        <v>9</v>
      </c>
      <c r="F912" t="s">
        <v>10</v>
      </c>
      <c r="G912" t="s">
        <v>11</v>
      </c>
      <c r="H912">
        <v>62.7</v>
      </c>
    </row>
    <row r="913" spans="1:8">
      <c r="A913">
        <v>912</v>
      </c>
      <c r="B913">
        <v>46</v>
      </c>
      <c r="C913" t="s">
        <v>12</v>
      </c>
      <c r="D913" t="s">
        <v>25</v>
      </c>
      <c r="E913" t="s">
        <v>9</v>
      </c>
      <c r="F913" t="s">
        <v>21</v>
      </c>
      <c r="G913" t="s">
        <v>11</v>
      </c>
      <c r="H913">
        <v>278.60000000000002</v>
      </c>
    </row>
    <row r="914" spans="1:8">
      <c r="A914">
        <v>913</v>
      </c>
      <c r="B914">
        <v>77</v>
      </c>
      <c r="C914" t="s">
        <v>12</v>
      </c>
      <c r="D914" t="s">
        <v>49</v>
      </c>
      <c r="E914" t="s">
        <v>26</v>
      </c>
      <c r="F914" t="s">
        <v>21</v>
      </c>
      <c r="G914" t="s">
        <v>16</v>
      </c>
      <c r="H914">
        <v>213.48</v>
      </c>
    </row>
    <row r="915" spans="1:8">
      <c r="A915">
        <v>914</v>
      </c>
      <c r="B915">
        <v>89</v>
      </c>
      <c r="C915" t="s">
        <v>12</v>
      </c>
      <c r="D915" t="s">
        <v>35</v>
      </c>
      <c r="E915" t="s">
        <v>15</v>
      </c>
      <c r="F915" t="s">
        <v>18</v>
      </c>
      <c r="G915" t="s">
        <v>16</v>
      </c>
      <c r="H915">
        <v>90.11</v>
      </c>
    </row>
    <row r="916" spans="1:8">
      <c r="A916">
        <v>915</v>
      </c>
      <c r="B916">
        <v>66</v>
      </c>
      <c r="C916" t="s">
        <v>19</v>
      </c>
      <c r="D916" s="1">
        <v>45415</v>
      </c>
      <c r="E916" t="s">
        <v>26</v>
      </c>
      <c r="F916" t="s">
        <v>21</v>
      </c>
      <c r="G916" t="s">
        <v>11</v>
      </c>
      <c r="H916">
        <v>108.7</v>
      </c>
    </row>
    <row r="917" spans="1:8">
      <c r="A917">
        <v>916</v>
      </c>
      <c r="B917">
        <v>7</v>
      </c>
      <c r="C917" t="s">
        <v>8</v>
      </c>
      <c r="D917" t="s">
        <v>73</v>
      </c>
      <c r="E917" t="s">
        <v>26</v>
      </c>
      <c r="F917" t="s">
        <v>21</v>
      </c>
      <c r="G917" t="s">
        <v>11</v>
      </c>
      <c r="H917">
        <v>75.06</v>
      </c>
    </row>
    <row r="918" spans="1:8">
      <c r="A918">
        <v>917</v>
      </c>
      <c r="B918">
        <v>66</v>
      </c>
      <c r="C918" t="s">
        <v>19</v>
      </c>
      <c r="D918" s="1">
        <v>45383</v>
      </c>
      <c r="E918" t="s">
        <v>9</v>
      </c>
      <c r="F918" t="s">
        <v>18</v>
      </c>
      <c r="G918" t="s">
        <v>16</v>
      </c>
      <c r="H918">
        <v>511.65</v>
      </c>
    </row>
    <row r="919" spans="1:8">
      <c r="A919">
        <v>918</v>
      </c>
      <c r="B919">
        <v>24</v>
      </c>
      <c r="C919" t="s">
        <v>12</v>
      </c>
      <c r="D919" s="1">
        <v>45297</v>
      </c>
      <c r="E919" t="s">
        <v>9</v>
      </c>
      <c r="F919" t="s">
        <v>21</v>
      </c>
      <c r="G919" t="s">
        <v>11</v>
      </c>
      <c r="H919">
        <v>535.87</v>
      </c>
    </row>
    <row r="920" spans="1:8">
      <c r="A920">
        <v>919</v>
      </c>
      <c r="B920">
        <v>35</v>
      </c>
      <c r="C920" t="s">
        <v>19</v>
      </c>
      <c r="D920" s="1">
        <v>45294</v>
      </c>
      <c r="E920" t="s">
        <v>15</v>
      </c>
      <c r="F920" t="s">
        <v>10</v>
      </c>
      <c r="G920" t="s">
        <v>11</v>
      </c>
      <c r="H920">
        <v>585.78</v>
      </c>
    </row>
    <row r="921" spans="1:8">
      <c r="A921">
        <v>920</v>
      </c>
      <c r="B921">
        <v>47</v>
      </c>
      <c r="C921" t="s">
        <v>12</v>
      </c>
      <c r="D921" s="1">
        <v>45352</v>
      </c>
      <c r="E921" t="s">
        <v>26</v>
      </c>
      <c r="F921" t="s">
        <v>21</v>
      </c>
      <c r="G921" t="s">
        <v>11</v>
      </c>
      <c r="H921">
        <v>873.58</v>
      </c>
    </row>
    <row r="922" spans="1:8">
      <c r="A922">
        <v>921</v>
      </c>
      <c r="B922">
        <v>91</v>
      </c>
      <c r="C922" t="s">
        <v>19</v>
      </c>
      <c r="D922" s="1">
        <v>45538</v>
      </c>
      <c r="E922" t="s">
        <v>15</v>
      </c>
      <c r="F922" t="s">
        <v>21</v>
      </c>
      <c r="G922" t="s">
        <v>16</v>
      </c>
      <c r="H922">
        <v>73.459999999999994</v>
      </c>
    </row>
    <row r="923" spans="1:8">
      <c r="A923">
        <v>922</v>
      </c>
      <c r="B923">
        <v>90</v>
      </c>
      <c r="C923" t="s">
        <v>19</v>
      </c>
      <c r="D923" t="s">
        <v>98</v>
      </c>
      <c r="E923" t="s">
        <v>9</v>
      </c>
      <c r="F923" t="s">
        <v>10</v>
      </c>
      <c r="G923" t="s">
        <v>11</v>
      </c>
      <c r="H923">
        <v>793.46</v>
      </c>
    </row>
    <row r="924" spans="1:8">
      <c r="A924">
        <v>923</v>
      </c>
      <c r="B924">
        <v>36</v>
      </c>
      <c r="C924" t="s">
        <v>8</v>
      </c>
      <c r="D924" t="s">
        <v>39</v>
      </c>
      <c r="E924" t="s">
        <v>26</v>
      </c>
      <c r="F924" t="s">
        <v>10</v>
      </c>
      <c r="G924" t="s">
        <v>11</v>
      </c>
      <c r="H924">
        <v>893.77</v>
      </c>
    </row>
    <row r="925" spans="1:8">
      <c r="A925">
        <v>924</v>
      </c>
      <c r="B925">
        <v>2</v>
      </c>
      <c r="C925" t="s">
        <v>19</v>
      </c>
      <c r="D925" t="s">
        <v>124</v>
      </c>
      <c r="E925" t="s">
        <v>9</v>
      </c>
      <c r="F925" t="s">
        <v>10</v>
      </c>
      <c r="G925" t="s">
        <v>20</v>
      </c>
      <c r="H925">
        <v>409.43</v>
      </c>
    </row>
    <row r="926" spans="1:8">
      <c r="A926">
        <v>925</v>
      </c>
      <c r="B926">
        <v>11</v>
      </c>
      <c r="C926" t="s">
        <v>12</v>
      </c>
      <c r="D926" s="1">
        <v>45356</v>
      </c>
      <c r="E926" t="s">
        <v>15</v>
      </c>
      <c r="F926" t="s">
        <v>10</v>
      </c>
      <c r="G926" t="s">
        <v>16</v>
      </c>
      <c r="H926">
        <v>351.86</v>
      </c>
    </row>
    <row r="927" spans="1:8">
      <c r="A927">
        <v>926</v>
      </c>
      <c r="B927">
        <v>16</v>
      </c>
      <c r="C927" t="s">
        <v>12</v>
      </c>
      <c r="D927" s="1">
        <v>45627</v>
      </c>
      <c r="E927" t="s">
        <v>15</v>
      </c>
      <c r="F927" t="s">
        <v>21</v>
      </c>
      <c r="G927" t="s">
        <v>16</v>
      </c>
      <c r="H927">
        <v>933.37</v>
      </c>
    </row>
    <row r="928" spans="1:8">
      <c r="A928">
        <v>927</v>
      </c>
      <c r="B928">
        <v>44</v>
      </c>
      <c r="C928" t="s">
        <v>19</v>
      </c>
      <c r="D928" t="s">
        <v>99</v>
      </c>
      <c r="E928" t="s">
        <v>26</v>
      </c>
      <c r="F928" t="s">
        <v>21</v>
      </c>
      <c r="G928" t="s">
        <v>11</v>
      </c>
      <c r="H928">
        <v>333.92</v>
      </c>
    </row>
    <row r="929" spans="1:8">
      <c r="A929">
        <v>928</v>
      </c>
      <c r="B929">
        <v>80</v>
      </c>
      <c r="C929" t="s">
        <v>8</v>
      </c>
      <c r="D929" t="s">
        <v>61</v>
      </c>
      <c r="E929" t="s">
        <v>15</v>
      </c>
      <c r="F929" t="s">
        <v>21</v>
      </c>
      <c r="G929" t="s">
        <v>20</v>
      </c>
      <c r="H929">
        <v>904.57</v>
      </c>
    </row>
    <row r="930" spans="1:8">
      <c r="A930">
        <v>929</v>
      </c>
      <c r="B930">
        <v>5</v>
      </c>
      <c r="C930" t="s">
        <v>12</v>
      </c>
      <c r="D930" t="s">
        <v>61</v>
      </c>
      <c r="E930" t="s">
        <v>26</v>
      </c>
      <c r="F930" t="s">
        <v>18</v>
      </c>
      <c r="G930" t="s">
        <v>11</v>
      </c>
      <c r="H930">
        <v>225.51</v>
      </c>
    </row>
    <row r="931" spans="1:8">
      <c r="A931">
        <v>930</v>
      </c>
      <c r="B931">
        <v>52</v>
      </c>
      <c r="C931" t="s">
        <v>12</v>
      </c>
      <c r="D931" t="s">
        <v>30</v>
      </c>
      <c r="E931" t="s">
        <v>9</v>
      </c>
      <c r="F931" t="s">
        <v>18</v>
      </c>
      <c r="G931" t="s">
        <v>16</v>
      </c>
      <c r="H931">
        <v>664.52</v>
      </c>
    </row>
    <row r="932" spans="1:8">
      <c r="A932">
        <v>931</v>
      </c>
      <c r="B932">
        <v>81</v>
      </c>
      <c r="C932" t="s">
        <v>8</v>
      </c>
      <c r="D932" s="1">
        <v>45384</v>
      </c>
      <c r="E932" t="s">
        <v>15</v>
      </c>
      <c r="F932" t="s">
        <v>18</v>
      </c>
      <c r="G932" t="s">
        <v>16</v>
      </c>
      <c r="H932">
        <v>486.49</v>
      </c>
    </row>
    <row r="933" spans="1:8">
      <c r="A933">
        <v>932</v>
      </c>
      <c r="B933">
        <v>80</v>
      </c>
      <c r="C933" t="s">
        <v>12</v>
      </c>
      <c r="D933" t="s">
        <v>30</v>
      </c>
      <c r="E933" t="s">
        <v>15</v>
      </c>
      <c r="F933" t="s">
        <v>21</v>
      </c>
      <c r="G933" t="s">
        <v>11</v>
      </c>
      <c r="H933">
        <v>127.23</v>
      </c>
    </row>
    <row r="934" spans="1:8">
      <c r="A934">
        <v>933</v>
      </c>
      <c r="B934">
        <v>15</v>
      </c>
      <c r="C934" t="s">
        <v>19</v>
      </c>
      <c r="D934" t="s">
        <v>66</v>
      </c>
      <c r="E934" t="s">
        <v>15</v>
      </c>
      <c r="F934" t="s">
        <v>10</v>
      </c>
      <c r="G934" t="s">
        <v>11</v>
      </c>
      <c r="H934">
        <v>121.96</v>
      </c>
    </row>
    <row r="935" spans="1:8">
      <c r="A935">
        <v>934</v>
      </c>
      <c r="B935">
        <v>62</v>
      </c>
      <c r="C935" t="s">
        <v>19</v>
      </c>
      <c r="D935" s="1">
        <v>45448</v>
      </c>
      <c r="E935" t="s">
        <v>26</v>
      </c>
      <c r="F935" t="s">
        <v>10</v>
      </c>
      <c r="G935" t="s">
        <v>20</v>
      </c>
      <c r="H935">
        <v>267.64</v>
      </c>
    </row>
    <row r="936" spans="1:8">
      <c r="A936">
        <v>935</v>
      </c>
      <c r="B936">
        <v>46</v>
      </c>
      <c r="C936" t="s">
        <v>8</v>
      </c>
      <c r="D936" t="s">
        <v>51</v>
      </c>
      <c r="E936" t="s">
        <v>26</v>
      </c>
      <c r="F936" t="s">
        <v>18</v>
      </c>
      <c r="G936" t="s">
        <v>16</v>
      </c>
      <c r="H936">
        <v>298.02999999999997</v>
      </c>
    </row>
    <row r="937" spans="1:8">
      <c r="A937">
        <v>936</v>
      </c>
      <c r="B937">
        <v>7</v>
      </c>
      <c r="C937" t="s">
        <v>19</v>
      </c>
      <c r="D937" s="1">
        <v>45353</v>
      </c>
      <c r="E937" t="s">
        <v>9</v>
      </c>
      <c r="F937" t="s">
        <v>21</v>
      </c>
      <c r="G937" t="s">
        <v>16</v>
      </c>
      <c r="H937">
        <v>604.72</v>
      </c>
    </row>
    <row r="938" spans="1:8">
      <c r="A938">
        <v>937</v>
      </c>
      <c r="B938">
        <v>94</v>
      </c>
      <c r="C938" t="s">
        <v>8</v>
      </c>
      <c r="D938" t="s">
        <v>113</v>
      </c>
      <c r="E938" t="s">
        <v>15</v>
      </c>
      <c r="F938" t="s">
        <v>18</v>
      </c>
      <c r="G938" t="s">
        <v>20</v>
      </c>
      <c r="H938">
        <v>749.05</v>
      </c>
    </row>
    <row r="939" spans="1:8">
      <c r="A939">
        <v>938</v>
      </c>
      <c r="B939">
        <v>38</v>
      </c>
      <c r="C939" t="s">
        <v>8</v>
      </c>
      <c r="D939" s="1">
        <v>45508</v>
      </c>
      <c r="E939" t="s">
        <v>26</v>
      </c>
      <c r="F939" t="s">
        <v>10</v>
      </c>
      <c r="G939" t="s">
        <v>20</v>
      </c>
      <c r="H939">
        <v>499.34</v>
      </c>
    </row>
    <row r="940" spans="1:8">
      <c r="A940">
        <v>939</v>
      </c>
      <c r="B940">
        <v>92</v>
      </c>
      <c r="C940" t="s">
        <v>19</v>
      </c>
      <c r="D940" t="s">
        <v>128</v>
      </c>
      <c r="E940" t="s">
        <v>15</v>
      </c>
      <c r="F940" t="s">
        <v>21</v>
      </c>
      <c r="G940" t="s">
        <v>11</v>
      </c>
      <c r="H940">
        <v>590.85</v>
      </c>
    </row>
    <row r="941" spans="1:8">
      <c r="A941">
        <v>940</v>
      </c>
      <c r="B941">
        <v>29</v>
      </c>
      <c r="C941" t="s">
        <v>12</v>
      </c>
      <c r="D941" s="1">
        <v>45295</v>
      </c>
      <c r="E941" t="s">
        <v>15</v>
      </c>
      <c r="F941" t="s">
        <v>10</v>
      </c>
      <c r="G941" t="s">
        <v>20</v>
      </c>
      <c r="H941">
        <v>355.6</v>
      </c>
    </row>
    <row r="942" spans="1:8">
      <c r="A942">
        <v>941</v>
      </c>
      <c r="B942">
        <v>46</v>
      </c>
      <c r="C942" t="s">
        <v>8</v>
      </c>
      <c r="D942" t="s">
        <v>80</v>
      </c>
      <c r="E942" t="s">
        <v>9</v>
      </c>
      <c r="F942" t="s">
        <v>10</v>
      </c>
      <c r="G942" t="s">
        <v>11</v>
      </c>
      <c r="H942">
        <v>266.97000000000003</v>
      </c>
    </row>
    <row r="943" spans="1:8">
      <c r="A943">
        <v>942</v>
      </c>
      <c r="B943">
        <v>46</v>
      </c>
      <c r="C943" t="s">
        <v>8</v>
      </c>
      <c r="D943" t="s">
        <v>85</v>
      </c>
      <c r="E943" t="s">
        <v>26</v>
      </c>
      <c r="F943" t="s">
        <v>18</v>
      </c>
      <c r="G943" t="s">
        <v>11</v>
      </c>
      <c r="H943">
        <v>160.08000000000001</v>
      </c>
    </row>
    <row r="944" spans="1:8">
      <c r="A944">
        <v>943</v>
      </c>
      <c r="B944">
        <v>79</v>
      </c>
      <c r="C944" t="s">
        <v>19</v>
      </c>
      <c r="D944" t="s">
        <v>129</v>
      </c>
      <c r="E944" t="s">
        <v>15</v>
      </c>
      <c r="F944" t="s">
        <v>21</v>
      </c>
      <c r="G944" t="s">
        <v>20</v>
      </c>
      <c r="H944">
        <v>827.64</v>
      </c>
    </row>
    <row r="945" spans="1:8">
      <c r="A945">
        <v>944</v>
      </c>
      <c r="B945">
        <v>72</v>
      </c>
      <c r="C945" t="s">
        <v>12</v>
      </c>
      <c r="D945" s="1">
        <v>45599</v>
      </c>
      <c r="E945" t="s">
        <v>26</v>
      </c>
      <c r="F945" t="s">
        <v>10</v>
      </c>
      <c r="G945" t="s">
        <v>20</v>
      </c>
      <c r="H945">
        <v>19.829999999999998</v>
      </c>
    </row>
    <row r="946" spans="1:8">
      <c r="A946">
        <v>945</v>
      </c>
      <c r="B946">
        <v>10</v>
      </c>
      <c r="C946" t="s">
        <v>19</v>
      </c>
      <c r="D946" t="s">
        <v>54</v>
      </c>
      <c r="E946" t="s">
        <v>26</v>
      </c>
      <c r="F946" t="s">
        <v>10</v>
      </c>
      <c r="G946" t="s">
        <v>11</v>
      </c>
      <c r="H946">
        <v>989.49</v>
      </c>
    </row>
    <row r="947" spans="1:8">
      <c r="A947">
        <v>946</v>
      </c>
      <c r="B947">
        <v>87</v>
      </c>
      <c r="C947" t="s">
        <v>19</v>
      </c>
      <c r="D947" s="1">
        <v>45354</v>
      </c>
      <c r="E947" t="s">
        <v>15</v>
      </c>
      <c r="F947" t="s">
        <v>10</v>
      </c>
      <c r="G947" t="s">
        <v>20</v>
      </c>
      <c r="H947">
        <v>133.9</v>
      </c>
    </row>
    <row r="948" spans="1:8">
      <c r="A948">
        <v>947</v>
      </c>
      <c r="B948">
        <v>6</v>
      </c>
      <c r="C948" t="s">
        <v>19</v>
      </c>
      <c r="D948" s="1">
        <v>45354</v>
      </c>
      <c r="E948" t="s">
        <v>15</v>
      </c>
      <c r="F948" t="s">
        <v>21</v>
      </c>
      <c r="G948" t="s">
        <v>11</v>
      </c>
      <c r="H948">
        <v>739.33</v>
      </c>
    </row>
    <row r="949" spans="1:8">
      <c r="A949">
        <v>948</v>
      </c>
      <c r="B949">
        <v>70</v>
      </c>
      <c r="C949" t="s">
        <v>8</v>
      </c>
      <c r="D949" t="s">
        <v>128</v>
      </c>
      <c r="E949" t="s">
        <v>9</v>
      </c>
      <c r="F949" t="s">
        <v>21</v>
      </c>
      <c r="G949" t="s">
        <v>16</v>
      </c>
      <c r="H949">
        <v>947.83</v>
      </c>
    </row>
    <row r="950" spans="1:8">
      <c r="A950">
        <v>949</v>
      </c>
      <c r="B950">
        <v>60</v>
      </c>
      <c r="C950" t="s">
        <v>8</v>
      </c>
      <c r="D950" s="1">
        <v>45600</v>
      </c>
      <c r="E950" t="s">
        <v>26</v>
      </c>
      <c r="F950" t="s">
        <v>18</v>
      </c>
      <c r="G950" t="s">
        <v>16</v>
      </c>
      <c r="H950">
        <v>743.44</v>
      </c>
    </row>
    <row r="951" spans="1:8">
      <c r="A951">
        <v>950</v>
      </c>
      <c r="B951">
        <v>23</v>
      </c>
      <c r="C951" t="s">
        <v>8</v>
      </c>
      <c r="D951" t="s">
        <v>33</v>
      </c>
      <c r="E951" t="s">
        <v>26</v>
      </c>
      <c r="F951" t="s">
        <v>18</v>
      </c>
      <c r="G951" t="s">
        <v>16</v>
      </c>
      <c r="H951">
        <v>534.79</v>
      </c>
    </row>
    <row r="952" spans="1:8">
      <c r="A952">
        <v>951</v>
      </c>
      <c r="B952">
        <v>2</v>
      </c>
      <c r="C952" t="s">
        <v>12</v>
      </c>
      <c r="D952" s="1">
        <v>45510</v>
      </c>
      <c r="E952" t="s">
        <v>15</v>
      </c>
      <c r="F952" t="s">
        <v>21</v>
      </c>
      <c r="G952" t="s">
        <v>11</v>
      </c>
      <c r="H952">
        <v>479.56</v>
      </c>
    </row>
    <row r="953" spans="1:8">
      <c r="A953">
        <v>952</v>
      </c>
      <c r="B953">
        <v>23</v>
      </c>
      <c r="C953" t="s">
        <v>8</v>
      </c>
      <c r="D953" t="s">
        <v>121</v>
      </c>
      <c r="E953" t="s">
        <v>26</v>
      </c>
      <c r="F953" t="s">
        <v>18</v>
      </c>
      <c r="G953" t="s">
        <v>11</v>
      </c>
      <c r="H953">
        <v>87.89</v>
      </c>
    </row>
    <row r="954" spans="1:8">
      <c r="A954">
        <v>953</v>
      </c>
      <c r="B954">
        <v>81</v>
      </c>
      <c r="C954" t="s">
        <v>12</v>
      </c>
      <c r="D954" t="s">
        <v>58</v>
      </c>
      <c r="E954" t="s">
        <v>26</v>
      </c>
      <c r="F954" t="s">
        <v>10</v>
      </c>
      <c r="G954" t="s">
        <v>20</v>
      </c>
      <c r="H954">
        <v>571.61</v>
      </c>
    </row>
    <row r="955" spans="1:8">
      <c r="A955">
        <v>954</v>
      </c>
      <c r="B955">
        <v>46</v>
      </c>
      <c r="C955" t="s">
        <v>8</v>
      </c>
      <c r="D955" t="s">
        <v>126</v>
      </c>
      <c r="E955" t="s">
        <v>26</v>
      </c>
      <c r="F955" t="s">
        <v>21</v>
      </c>
      <c r="G955" t="s">
        <v>11</v>
      </c>
      <c r="H955">
        <v>485.1</v>
      </c>
    </row>
    <row r="956" spans="1:8">
      <c r="A956">
        <v>955</v>
      </c>
      <c r="B956">
        <v>85</v>
      </c>
      <c r="C956" t="s">
        <v>12</v>
      </c>
      <c r="D956" t="s">
        <v>117</v>
      </c>
      <c r="E956" t="s">
        <v>15</v>
      </c>
      <c r="F956" t="s">
        <v>10</v>
      </c>
      <c r="G956" t="s">
        <v>20</v>
      </c>
      <c r="H956">
        <v>289.68</v>
      </c>
    </row>
    <row r="957" spans="1:8">
      <c r="A957">
        <v>956</v>
      </c>
      <c r="B957">
        <v>43</v>
      </c>
      <c r="C957" t="s">
        <v>12</v>
      </c>
      <c r="D957" s="1">
        <v>45294</v>
      </c>
      <c r="E957" t="s">
        <v>26</v>
      </c>
      <c r="F957" t="s">
        <v>18</v>
      </c>
      <c r="G957" t="s">
        <v>20</v>
      </c>
      <c r="H957">
        <v>962.48</v>
      </c>
    </row>
    <row r="958" spans="1:8">
      <c r="A958">
        <v>957</v>
      </c>
      <c r="B958">
        <v>13</v>
      </c>
      <c r="C958" t="s">
        <v>8</v>
      </c>
      <c r="D958" t="s">
        <v>45</v>
      </c>
      <c r="E958" t="s">
        <v>15</v>
      </c>
      <c r="F958" t="s">
        <v>10</v>
      </c>
      <c r="G958" t="s">
        <v>16</v>
      </c>
      <c r="H958">
        <v>13.19</v>
      </c>
    </row>
    <row r="959" spans="1:8">
      <c r="A959">
        <v>958</v>
      </c>
      <c r="B959">
        <v>25</v>
      </c>
      <c r="C959" t="s">
        <v>8</v>
      </c>
      <c r="D959" s="1">
        <v>45355</v>
      </c>
      <c r="E959" t="s">
        <v>9</v>
      </c>
      <c r="F959" t="s">
        <v>18</v>
      </c>
      <c r="G959" t="s">
        <v>11</v>
      </c>
      <c r="H959">
        <v>298.81</v>
      </c>
    </row>
    <row r="960" spans="1:8">
      <c r="A960">
        <v>959</v>
      </c>
      <c r="B960">
        <v>53</v>
      </c>
      <c r="C960" t="s">
        <v>19</v>
      </c>
      <c r="D960" t="s">
        <v>61</v>
      </c>
      <c r="E960" t="s">
        <v>9</v>
      </c>
      <c r="F960" t="s">
        <v>18</v>
      </c>
      <c r="G960" t="s">
        <v>16</v>
      </c>
      <c r="H960">
        <v>916.49</v>
      </c>
    </row>
    <row r="961" spans="1:8">
      <c r="A961">
        <v>960</v>
      </c>
      <c r="B961">
        <v>59</v>
      </c>
      <c r="C961" t="s">
        <v>19</v>
      </c>
      <c r="D961" t="s">
        <v>99</v>
      </c>
      <c r="E961" t="s">
        <v>15</v>
      </c>
      <c r="F961" t="s">
        <v>18</v>
      </c>
      <c r="G961" t="s">
        <v>16</v>
      </c>
      <c r="H961">
        <v>15.96</v>
      </c>
    </row>
    <row r="962" spans="1:8">
      <c r="A962">
        <v>961</v>
      </c>
      <c r="B962">
        <v>3</v>
      </c>
      <c r="C962" t="s">
        <v>8</v>
      </c>
      <c r="D962" t="s">
        <v>39</v>
      </c>
      <c r="E962" t="s">
        <v>9</v>
      </c>
      <c r="F962" t="s">
        <v>21</v>
      </c>
      <c r="G962" t="s">
        <v>11</v>
      </c>
      <c r="H962">
        <v>383.65</v>
      </c>
    </row>
    <row r="963" spans="1:8">
      <c r="A963">
        <v>962</v>
      </c>
      <c r="B963">
        <v>78</v>
      </c>
      <c r="C963" t="s">
        <v>19</v>
      </c>
      <c r="D963" t="s">
        <v>83</v>
      </c>
      <c r="E963" t="s">
        <v>9</v>
      </c>
      <c r="F963" t="s">
        <v>18</v>
      </c>
      <c r="G963" t="s">
        <v>20</v>
      </c>
      <c r="H963">
        <v>612.25</v>
      </c>
    </row>
    <row r="964" spans="1:8">
      <c r="A964">
        <v>963</v>
      </c>
      <c r="B964">
        <v>51</v>
      </c>
      <c r="C964" t="s">
        <v>19</v>
      </c>
      <c r="D964" t="s">
        <v>102</v>
      </c>
      <c r="E964" t="s">
        <v>9</v>
      </c>
      <c r="F964" t="s">
        <v>10</v>
      </c>
      <c r="G964" t="s">
        <v>16</v>
      </c>
      <c r="H964">
        <v>142</v>
      </c>
    </row>
    <row r="965" spans="1:8">
      <c r="A965">
        <v>964</v>
      </c>
      <c r="B965">
        <v>45</v>
      </c>
      <c r="C965" t="s">
        <v>12</v>
      </c>
      <c r="D965" t="s">
        <v>107</v>
      </c>
      <c r="E965" t="s">
        <v>9</v>
      </c>
      <c r="F965" t="s">
        <v>18</v>
      </c>
      <c r="G965" t="s">
        <v>20</v>
      </c>
      <c r="H965">
        <v>685.35</v>
      </c>
    </row>
    <row r="966" spans="1:8">
      <c r="A966">
        <v>965</v>
      </c>
      <c r="B966">
        <v>45</v>
      </c>
      <c r="C966" t="s">
        <v>12</v>
      </c>
      <c r="D966" t="s">
        <v>88</v>
      </c>
      <c r="E966" t="s">
        <v>15</v>
      </c>
      <c r="F966" t="s">
        <v>18</v>
      </c>
      <c r="G966" t="s">
        <v>11</v>
      </c>
      <c r="H966">
        <v>358.46</v>
      </c>
    </row>
    <row r="967" spans="1:8">
      <c r="A967">
        <v>966</v>
      </c>
      <c r="B967">
        <v>54</v>
      </c>
      <c r="C967" t="s">
        <v>12</v>
      </c>
      <c r="D967" t="s">
        <v>39</v>
      </c>
      <c r="E967" t="s">
        <v>15</v>
      </c>
      <c r="F967" t="s">
        <v>21</v>
      </c>
      <c r="G967" t="s">
        <v>11</v>
      </c>
      <c r="H967">
        <v>310.35000000000002</v>
      </c>
    </row>
    <row r="968" spans="1:8">
      <c r="A968">
        <v>967</v>
      </c>
      <c r="B968">
        <v>81</v>
      </c>
      <c r="C968" t="s">
        <v>12</v>
      </c>
      <c r="D968" t="s">
        <v>114</v>
      </c>
      <c r="E968" t="s">
        <v>15</v>
      </c>
      <c r="F968" t="s">
        <v>21</v>
      </c>
      <c r="G968" t="s">
        <v>20</v>
      </c>
      <c r="H968">
        <v>610.75</v>
      </c>
    </row>
    <row r="969" spans="1:8">
      <c r="A969">
        <v>968</v>
      </c>
      <c r="B969">
        <v>92</v>
      </c>
      <c r="C969" t="s">
        <v>8</v>
      </c>
      <c r="D969" s="1">
        <v>45354</v>
      </c>
      <c r="E969" t="s">
        <v>15</v>
      </c>
      <c r="F969" t="s">
        <v>21</v>
      </c>
      <c r="G969" t="s">
        <v>11</v>
      </c>
      <c r="H969">
        <v>523.61</v>
      </c>
    </row>
    <row r="970" spans="1:8">
      <c r="A970">
        <v>969</v>
      </c>
      <c r="B970">
        <v>6</v>
      </c>
      <c r="C970" t="s">
        <v>8</v>
      </c>
      <c r="D970" t="s">
        <v>55</v>
      </c>
      <c r="E970" t="s">
        <v>26</v>
      </c>
      <c r="F970" t="s">
        <v>10</v>
      </c>
      <c r="G970" t="s">
        <v>20</v>
      </c>
      <c r="H970">
        <v>945.17</v>
      </c>
    </row>
    <row r="971" spans="1:8">
      <c r="A971">
        <v>970</v>
      </c>
      <c r="B971">
        <v>33</v>
      </c>
      <c r="C971" t="s">
        <v>8</v>
      </c>
      <c r="D971" t="s">
        <v>97</v>
      </c>
      <c r="E971" t="s">
        <v>15</v>
      </c>
      <c r="F971" t="s">
        <v>10</v>
      </c>
      <c r="G971" t="s">
        <v>11</v>
      </c>
      <c r="H971">
        <v>708.97</v>
      </c>
    </row>
    <row r="972" spans="1:8">
      <c r="A972">
        <v>971</v>
      </c>
      <c r="B972">
        <v>50</v>
      </c>
      <c r="C972" t="s">
        <v>19</v>
      </c>
      <c r="D972" s="1">
        <v>45477</v>
      </c>
      <c r="E972" t="s">
        <v>9</v>
      </c>
      <c r="F972" t="s">
        <v>10</v>
      </c>
      <c r="G972" t="s">
        <v>16</v>
      </c>
      <c r="H972">
        <v>309.87</v>
      </c>
    </row>
    <row r="973" spans="1:8">
      <c r="A973">
        <v>972</v>
      </c>
      <c r="B973">
        <v>97</v>
      </c>
      <c r="C973" t="s">
        <v>19</v>
      </c>
      <c r="D973" s="1">
        <v>45383</v>
      </c>
      <c r="E973" t="s">
        <v>26</v>
      </c>
      <c r="F973" t="s">
        <v>18</v>
      </c>
      <c r="G973" t="s">
        <v>20</v>
      </c>
      <c r="H973">
        <v>565.48</v>
      </c>
    </row>
    <row r="974" spans="1:8">
      <c r="A974">
        <v>973</v>
      </c>
      <c r="B974">
        <v>14</v>
      </c>
      <c r="C974" t="s">
        <v>8</v>
      </c>
      <c r="D974" t="s">
        <v>112</v>
      </c>
      <c r="E974" t="s">
        <v>26</v>
      </c>
      <c r="F974" t="s">
        <v>18</v>
      </c>
      <c r="G974" t="s">
        <v>16</v>
      </c>
      <c r="H974">
        <v>859.52</v>
      </c>
    </row>
    <row r="975" spans="1:8">
      <c r="A975">
        <v>974</v>
      </c>
      <c r="B975">
        <v>39</v>
      </c>
      <c r="C975" t="s">
        <v>19</v>
      </c>
      <c r="D975" t="s">
        <v>63</v>
      </c>
      <c r="E975" t="s">
        <v>15</v>
      </c>
      <c r="F975" t="s">
        <v>18</v>
      </c>
      <c r="G975" t="s">
        <v>20</v>
      </c>
      <c r="H975">
        <v>140.02000000000001</v>
      </c>
    </row>
    <row r="976" spans="1:8">
      <c r="A976">
        <v>975</v>
      </c>
      <c r="B976">
        <v>3</v>
      </c>
      <c r="C976" t="s">
        <v>12</v>
      </c>
      <c r="D976" s="1">
        <v>45292</v>
      </c>
      <c r="E976" t="s">
        <v>9</v>
      </c>
      <c r="F976" t="s">
        <v>21</v>
      </c>
      <c r="G976" t="s">
        <v>16</v>
      </c>
      <c r="H976">
        <v>626.35</v>
      </c>
    </row>
    <row r="977" spans="1:8">
      <c r="A977">
        <v>976</v>
      </c>
      <c r="B977">
        <v>79</v>
      </c>
      <c r="C977" t="s">
        <v>19</v>
      </c>
      <c r="D977" t="s">
        <v>43</v>
      </c>
      <c r="E977" t="s">
        <v>9</v>
      </c>
      <c r="F977" t="s">
        <v>21</v>
      </c>
      <c r="G977" t="s">
        <v>11</v>
      </c>
      <c r="H977">
        <v>807.32</v>
      </c>
    </row>
    <row r="978" spans="1:8">
      <c r="A978">
        <v>977</v>
      </c>
      <c r="B978">
        <v>96</v>
      </c>
      <c r="C978" t="s">
        <v>8</v>
      </c>
      <c r="D978" s="1">
        <v>45510</v>
      </c>
      <c r="E978" t="s">
        <v>15</v>
      </c>
      <c r="F978" t="s">
        <v>18</v>
      </c>
      <c r="G978" t="s">
        <v>16</v>
      </c>
      <c r="H978">
        <v>888.55</v>
      </c>
    </row>
    <row r="979" spans="1:8">
      <c r="A979">
        <v>978</v>
      </c>
      <c r="B979">
        <v>57</v>
      </c>
      <c r="C979" t="s">
        <v>12</v>
      </c>
      <c r="D979" t="s">
        <v>78</v>
      </c>
      <c r="E979" t="s">
        <v>9</v>
      </c>
      <c r="F979" t="s">
        <v>21</v>
      </c>
      <c r="G979" t="s">
        <v>16</v>
      </c>
      <c r="H979">
        <v>440.85</v>
      </c>
    </row>
    <row r="980" spans="1:8">
      <c r="A980">
        <v>979</v>
      </c>
      <c r="B980">
        <v>1</v>
      </c>
      <c r="C980" t="s">
        <v>12</v>
      </c>
      <c r="D980" s="1">
        <v>45597</v>
      </c>
      <c r="E980" t="s">
        <v>15</v>
      </c>
      <c r="F980" t="s">
        <v>18</v>
      </c>
      <c r="G980" t="s">
        <v>20</v>
      </c>
      <c r="H980">
        <v>652.97</v>
      </c>
    </row>
    <row r="981" spans="1:8">
      <c r="A981">
        <v>980</v>
      </c>
      <c r="B981">
        <v>39</v>
      </c>
      <c r="C981" t="s">
        <v>12</v>
      </c>
      <c r="D981" t="s">
        <v>87</v>
      </c>
      <c r="E981" t="s">
        <v>15</v>
      </c>
      <c r="F981" t="s">
        <v>21</v>
      </c>
      <c r="G981" t="s">
        <v>11</v>
      </c>
      <c r="H981">
        <v>725.44</v>
      </c>
    </row>
    <row r="982" spans="1:8">
      <c r="A982">
        <v>981</v>
      </c>
      <c r="B982">
        <v>75</v>
      </c>
      <c r="C982" t="s">
        <v>19</v>
      </c>
      <c r="D982" t="s">
        <v>77</v>
      </c>
      <c r="E982" t="s">
        <v>15</v>
      </c>
      <c r="F982" t="s">
        <v>10</v>
      </c>
      <c r="G982" t="s">
        <v>20</v>
      </c>
      <c r="H982">
        <v>843.66</v>
      </c>
    </row>
    <row r="983" spans="1:8">
      <c r="A983">
        <v>982</v>
      </c>
      <c r="B983">
        <v>9</v>
      </c>
      <c r="C983" t="s">
        <v>19</v>
      </c>
      <c r="D983" t="s">
        <v>55</v>
      </c>
      <c r="E983" t="s">
        <v>9</v>
      </c>
      <c r="F983" t="s">
        <v>21</v>
      </c>
      <c r="G983" t="s">
        <v>11</v>
      </c>
      <c r="H983">
        <v>611.79999999999995</v>
      </c>
    </row>
    <row r="984" spans="1:8">
      <c r="A984">
        <v>983</v>
      </c>
      <c r="B984">
        <v>76</v>
      </c>
      <c r="C984" t="s">
        <v>12</v>
      </c>
      <c r="D984" t="s">
        <v>66</v>
      </c>
      <c r="E984" t="s">
        <v>26</v>
      </c>
      <c r="F984" t="s">
        <v>21</v>
      </c>
      <c r="G984" t="s">
        <v>16</v>
      </c>
      <c r="H984">
        <v>712.12</v>
      </c>
    </row>
    <row r="985" spans="1:8">
      <c r="A985">
        <v>984</v>
      </c>
      <c r="B985">
        <v>43</v>
      </c>
      <c r="C985" t="s">
        <v>12</v>
      </c>
      <c r="D985" t="s">
        <v>88</v>
      </c>
      <c r="E985" t="s">
        <v>15</v>
      </c>
      <c r="F985" t="s">
        <v>18</v>
      </c>
      <c r="G985" t="s">
        <v>20</v>
      </c>
      <c r="H985">
        <v>941.33</v>
      </c>
    </row>
    <row r="986" spans="1:8">
      <c r="A986">
        <v>985</v>
      </c>
      <c r="B986">
        <v>99</v>
      </c>
      <c r="C986" t="s">
        <v>12</v>
      </c>
      <c r="D986" s="1">
        <v>45324</v>
      </c>
      <c r="E986" t="s">
        <v>15</v>
      </c>
      <c r="F986" t="s">
        <v>18</v>
      </c>
      <c r="G986" t="s">
        <v>16</v>
      </c>
      <c r="H986">
        <v>112.15</v>
      </c>
    </row>
    <row r="987" spans="1:8">
      <c r="A987">
        <v>986</v>
      </c>
      <c r="B987">
        <v>47</v>
      </c>
      <c r="C987" t="s">
        <v>8</v>
      </c>
      <c r="D987" s="1">
        <v>45506</v>
      </c>
      <c r="E987" t="s">
        <v>15</v>
      </c>
      <c r="F987" t="s">
        <v>21</v>
      </c>
      <c r="G987" t="s">
        <v>16</v>
      </c>
      <c r="H987">
        <v>284.7</v>
      </c>
    </row>
    <row r="988" spans="1:8">
      <c r="A988">
        <v>987</v>
      </c>
      <c r="B988">
        <v>26</v>
      </c>
      <c r="C988" t="s">
        <v>19</v>
      </c>
      <c r="D988" t="s">
        <v>101</v>
      </c>
      <c r="E988" t="s">
        <v>15</v>
      </c>
      <c r="F988" t="s">
        <v>10</v>
      </c>
      <c r="G988" t="s">
        <v>11</v>
      </c>
      <c r="H988">
        <v>694.09</v>
      </c>
    </row>
    <row r="989" spans="1:8">
      <c r="A989">
        <v>988</v>
      </c>
      <c r="B989">
        <v>50</v>
      </c>
      <c r="C989" t="s">
        <v>19</v>
      </c>
      <c r="D989" s="1">
        <v>45414</v>
      </c>
      <c r="E989" t="s">
        <v>26</v>
      </c>
      <c r="F989" t="s">
        <v>21</v>
      </c>
      <c r="G989" t="s">
        <v>16</v>
      </c>
      <c r="H989">
        <v>102.98</v>
      </c>
    </row>
    <row r="990" spans="1:8">
      <c r="A990">
        <v>989</v>
      </c>
      <c r="B990">
        <v>11</v>
      </c>
      <c r="C990" t="s">
        <v>19</v>
      </c>
      <c r="D990" s="1">
        <v>45292</v>
      </c>
      <c r="E990" t="s">
        <v>9</v>
      </c>
      <c r="F990" t="s">
        <v>18</v>
      </c>
      <c r="G990" t="s">
        <v>11</v>
      </c>
      <c r="H990">
        <v>398.32</v>
      </c>
    </row>
    <row r="991" spans="1:8">
      <c r="A991">
        <v>990</v>
      </c>
      <c r="B991">
        <v>45</v>
      </c>
      <c r="C991" t="s">
        <v>19</v>
      </c>
      <c r="D991" s="1">
        <v>45602</v>
      </c>
      <c r="E991" t="s">
        <v>9</v>
      </c>
      <c r="F991" t="s">
        <v>18</v>
      </c>
      <c r="G991" t="s">
        <v>20</v>
      </c>
      <c r="H991">
        <v>576.07000000000005</v>
      </c>
    </row>
    <row r="992" spans="1:8">
      <c r="A992">
        <v>991</v>
      </c>
      <c r="B992">
        <v>10</v>
      </c>
      <c r="C992" t="s">
        <v>19</v>
      </c>
      <c r="D992" s="1">
        <v>45510</v>
      </c>
      <c r="E992" t="s">
        <v>15</v>
      </c>
      <c r="F992" t="s">
        <v>10</v>
      </c>
      <c r="G992" t="s">
        <v>11</v>
      </c>
      <c r="H992">
        <v>51.79</v>
      </c>
    </row>
    <row r="993" spans="1:8">
      <c r="A993">
        <v>992</v>
      </c>
      <c r="B993">
        <v>7</v>
      </c>
      <c r="C993" t="s">
        <v>19</v>
      </c>
      <c r="D993" t="s">
        <v>67</v>
      </c>
      <c r="E993" t="s">
        <v>15</v>
      </c>
      <c r="F993" t="s">
        <v>18</v>
      </c>
      <c r="G993" t="s">
        <v>11</v>
      </c>
      <c r="H993">
        <v>426.31</v>
      </c>
    </row>
    <row r="994" spans="1:8">
      <c r="A994">
        <v>993</v>
      </c>
      <c r="B994">
        <v>83</v>
      </c>
      <c r="C994" t="s">
        <v>12</v>
      </c>
      <c r="D994" t="s">
        <v>59</v>
      </c>
      <c r="E994" t="s">
        <v>15</v>
      </c>
      <c r="F994" t="s">
        <v>18</v>
      </c>
      <c r="G994" t="s">
        <v>20</v>
      </c>
      <c r="H994">
        <v>808.65</v>
      </c>
    </row>
    <row r="995" spans="1:8">
      <c r="A995">
        <v>994</v>
      </c>
      <c r="B995">
        <v>77</v>
      </c>
      <c r="C995" t="s">
        <v>19</v>
      </c>
      <c r="D995" s="1">
        <v>45598</v>
      </c>
      <c r="E995" t="s">
        <v>9</v>
      </c>
      <c r="F995" t="s">
        <v>10</v>
      </c>
      <c r="G995" t="s">
        <v>11</v>
      </c>
      <c r="H995">
        <v>970.37</v>
      </c>
    </row>
    <row r="996" spans="1:8">
      <c r="A996">
        <v>995</v>
      </c>
      <c r="B996">
        <v>41</v>
      </c>
      <c r="C996" t="s">
        <v>19</v>
      </c>
      <c r="D996" t="s">
        <v>97</v>
      </c>
      <c r="E996" t="s">
        <v>15</v>
      </c>
      <c r="F996" t="s">
        <v>21</v>
      </c>
      <c r="G996" t="s">
        <v>16</v>
      </c>
      <c r="H996">
        <v>67.540000000000006</v>
      </c>
    </row>
    <row r="997" spans="1:8">
      <c r="A997">
        <v>996</v>
      </c>
      <c r="B997">
        <v>25</v>
      </c>
      <c r="C997" t="s">
        <v>8</v>
      </c>
      <c r="D997" s="1">
        <v>45294</v>
      </c>
      <c r="E997" t="s">
        <v>9</v>
      </c>
      <c r="F997" t="s">
        <v>10</v>
      </c>
      <c r="G997" t="s">
        <v>16</v>
      </c>
      <c r="H997">
        <v>813.14</v>
      </c>
    </row>
    <row r="998" spans="1:8">
      <c r="A998">
        <v>997</v>
      </c>
      <c r="B998">
        <v>23</v>
      </c>
      <c r="C998" t="s">
        <v>12</v>
      </c>
      <c r="D998" t="s">
        <v>89</v>
      </c>
      <c r="E998" t="s">
        <v>9</v>
      </c>
      <c r="F998" t="s">
        <v>21</v>
      </c>
      <c r="G998" t="s">
        <v>16</v>
      </c>
      <c r="H998">
        <v>944.07</v>
      </c>
    </row>
    <row r="999" spans="1:8">
      <c r="A999">
        <v>998</v>
      </c>
      <c r="B999">
        <v>17</v>
      </c>
      <c r="C999" t="s">
        <v>8</v>
      </c>
      <c r="D999" t="s">
        <v>77</v>
      </c>
      <c r="E999" t="s">
        <v>9</v>
      </c>
      <c r="F999" t="s">
        <v>10</v>
      </c>
      <c r="G999" t="s">
        <v>16</v>
      </c>
      <c r="H999">
        <v>401.12</v>
      </c>
    </row>
    <row r="1000" spans="1:8">
      <c r="A1000">
        <v>999</v>
      </c>
      <c r="B1000">
        <v>96</v>
      </c>
      <c r="C1000" t="s">
        <v>19</v>
      </c>
      <c r="D1000" t="s">
        <v>90</v>
      </c>
      <c r="E1000" t="s">
        <v>15</v>
      </c>
      <c r="F1000" t="s">
        <v>21</v>
      </c>
      <c r="G1000" t="s">
        <v>20</v>
      </c>
      <c r="H1000">
        <v>775.63</v>
      </c>
    </row>
    <row r="1001" spans="1:8">
      <c r="A1001">
        <v>1000</v>
      </c>
      <c r="B1001">
        <v>1</v>
      </c>
      <c r="C1001" t="s">
        <v>19</v>
      </c>
      <c r="D1001" t="s">
        <v>44</v>
      </c>
      <c r="E1001" t="s">
        <v>9</v>
      </c>
      <c r="F1001" t="s">
        <v>10</v>
      </c>
      <c r="G1001" t="s">
        <v>11</v>
      </c>
      <c r="H1001">
        <v>963.4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1873-C3CB-42AB-9DA6-58768F13261D}">
  <sheetPr filterMode="1"/>
  <dimension ref="A1:L1001"/>
  <sheetViews>
    <sheetView workbookViewId="0">
      <selection activeCell="B1" sqref="B1:B1048576"/>
    </sheetView>
  </sheetViews>
  <sheetFormatPr defaultRowHeight="15"/>
  <cols>
    <col min="1" max="1" width="11.140625" bestFit="1" customWidth="1"/>
    <col min="2" max="2" width="12.85546875" customWidth="1"/>
    <col min="3" max="3" width="15.28515625" customWidth="1"/>
    <col min="4" max="4" width="15.42578125" customWidth="1"/>
    <col min="5" max="5" width="17" customWidth="1"/>
    <col min="6" max="6" width="12.7109375" customWidth="1"/>
    <col min="7" max="7" width="21.85546875" customWidth="1"/>
    <col min="8" max="8" width="14.140625" customWidth="1"/>
    <col min="11" max="11" width="13.28515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163</v>
      </c>
      <c r="J1" t="s">
        <v>187</v>
      </c>
      <c r="K1" t="s">
        <v>188</v>
      </c>
      <c r="L1" t="s">
        <v>189</v>
      </c>
    </row>
    <row r="2" spans="1:12" hidden="1">
      <c r="A2">
        <v>1</v>
      </c>
      <c r="B2">
        <v>15</v>
      </c>
      <c r="C2" t="s">
        <v>8</v>
      </c>
      <c r="D2" s="1">
        <v>45449</v>
      </c>
      <c r="E2" t="s">
        <v>9</v>
      </c>
      <c r="F2" t="s">
        <v>10</v>
      </c>
      <c r="G2" t="s">
        <v>11</v>
      </c>
      <c r="H2">
        <v>245.47</v>
      </c>
      <c r="I2" t="str">
        <f>TEXT(D2,"mmm/yyyy")</f>
        <v>Jun/2024</v>
      </c>
      <c r="J2">
        <v>245.47</v>
      </c>
      <c r="K2" s="15">
        <f>SUM(H2:H1001)</f>
        <v>507627.15000000014</v>
      </c>
      <c r="L2">
        <f>J2/$K$2</f>
        <v>4.8356357614048011E-4</v>
      </c>
    </row>
    <row r="3" spans="1:12" hidden="1">
      <c r="A3">
        <v>2</v>
      </c>
      <c r="B3">
        <v>6</v>
      </c>
      <c r="C3" t="s">
        <v>12</v>
      </c>
      <c r="D3" s="1">
        <v>45408</v>
      </c>
      <c r="E3" t="s">
        <v>9</v>
      </c>
      <c r="F3" t="s">
        <v>10</v>
      </c>
      <c r="G3" t="s">
        <v>11</v>
      </c>
      <c r="H3">
        <v>26.87</v>
      </c>
      <c r="I3" t="str">
        <f t="shared" ref="I3:I66" si="0">TEXT(D3,"mmm/yyyy")</f>
        <v>Apr/2024</v>
      </c>
      <c r="J3">
        <f>J2+H3</f>
        <v>272.33999999999997</v>
      </c>
      <c r="L3">
        <f>J3/$K$2</f>
        <v>5.3649612712795185E-4</v>
      </c>
    </row>
    <row r="4" spans="1:12" hidden="1">
      <c r="A4">
        <v>3</v>
      </c>
      <c r="B4">
        <v>84</v>
      </c>
      <c r="C4" t="s">
        <v>8</v>
      </c>
      <c r="D4" s="1">
        <v>45337</v>
      </c>
      <c r="E4" t="s">
        <v>15</v>
      </c>
      <c r="F4" t="s">
        <v>10</v>
      </c>
      <c r="G4" t="s">
        <v>16</v>
      </c>
      <c r="H4">
        <v>835.81</v>
      </c>
      <c r="I4" t="str">
        <f t="shared" si="0"/>
        <v>Feb/2024</v>
      </c>
      <c r="J4">
        <f t="shared" ref="J4:J67" si="1">J3+H4</f>
        <v>1108.1499999999999</v>
      </c>
    </row>
    <row r="5" spans="1:12" hidden="1">
      <c r="A5">
        <v>4</v>
      </c>
      <c r="B5">
        <v>10</v>
      </c>
      <c r="C5" t="s">
        <v>12</v>
      </c>
      <c r="D5" s="1">
        <v>45379</v>
      </c>
      <c r="E5" t="s">
        <v>15</v>
      </c>
      <c r="F5" t="s">
        <v>18</v>
      </c>
      <c r="G5" t="s">
        <v>16</v>
      </c>
      <c r="H5">
        <v>444.47</v>
      </c>
      <c r="I5" t="str">
        <f t="shared" si="0"/>
        <v>Mar/2024</v>
      </c>
      <c r="J5">
        <f t="shared" si="1"/>
        <v>1552.62</v>
      </c>
    </row>
    <row r="6" spans="1:12" hidden="1">
      <c r="A6">
        <v>5</v>
      </c>
      <c r="B6">
        <v>14</v>
      </c>
      <c r="C6" t="s">
        <v>19</v>
      </c>
      <c r="D6" s="1">
        <v>45408</v>
      </c>
      <c r="E6" t="s">
        <v>9</v>
      </c>
      <c r="F6" t="s">
        <v>10</v>
      </c>
      <c r="G6" t="s">
        <v>20</v>
      </c>
      <c r="H6">
        <v>823.64</v>
      </c>
      <c r="I6" t="str">
        <f t="shared" si="0"/>
        <v>Apr/2024</v>
      </c>
      <c r="J6">
        <f t="shared" si="1"/>
        <v>2376.2599999999998</v>
      </c>
    </row>
    <row r="7" spans="1:12" hidden="1">
      <c r="A7">
        <v>6</v>
      </c>
      <c r="B7">
        <v>17</v>
      </c>
      <c r="C7" t="s">
        <v>12</v>
      </c>
      <c r="D7" s="1">
        <v>45423</v>
      </c>
      <c r="E7" t="s">
        <v>15</v>
      </c>
      <c r="F7" t="s">
        <v>21</v>
      </c>
      <c r="G7" t="s">
        <v>11</v>
      </c>
      <c r="H7">
        <v>788.11</v>
      </c>
      <c r="I7" t="str">
        <f t="shared" si="0"/>
        <v>May/2024</v>
      </c>
      <c r="J7">
        <f t="shared" si="1"/>
        <v>3164.37</v>
      </c>
    </row>
    <row r="8" spans="1:12" hidden="1">
      <c r="A8">
        <v>7</v>
      </c>
      <c r="B8">
        <v>85</v>
      </c>
      <c r="C8" t="s">
        <v>19</v>
      </c>
      <c r="D8" s="1">
        <v>45435</v>
      </c>
      <c r="E8" t="s">
        <v>15</v>
      </c>
      <c r="F8" t="s">
        <v>18</v>
      </c>
      <c r="G8" t="s">
        <v>20</v>
      </c>
      <c r="H8">
        <v>33.68</v>
      </c>
      <c r="I8" t="str">
        <f t="shared" si="0"/>
        <v>May/2024</v>
      </c>
      <c r="J8">
        <f t="shared" si="1"/>
        <v>3198.0499999999997</v>
      </c>
    </row>
    <row r="9" spans="1:12" hidden="1">
      <c r="A9">
        <v>8</v>
      </c>
      <c r="B9">
        <v>90</v>
      </c>
      <c r="C9" t="s">
        <v>8</v>
      </c>
      <c r="D9" s="1">
        <v>45306</v>
      </c>
      <c r="E9" t="s">
        <v>15</v>
      </c>
      <c r="F9" t="s">
        <v>21</v>
      </c>
      <c r="G9" t="s">
        <v>20</v>
      </c>
      <c r="H9">
        <v>65.56</v>
      </c>
      <c r="I9" t="str">
        <f t="shared" si="0"/>
        <v>Jan/2024</v>
      </c>
      <c r="J9">
        <f t="shared" si="1"/>
        <v>3263.6099999999997</v>
      </c>
    </row>
    <row r="10" spans="1:12" hidden="1">
      <c r="A10">
        <v>9</v>
      </c>
      <c r="B10">
        <v>30</v>
      </c>
      <c r="C10" t="s">
        <v>8</v>
      </c>
      <c r="D10" s="1">
        <v>45317</v>
      </c>
      <c r="E10" t="s">
        <v>9</v>
      </c>
      <c r="F10" t="s">
        <v>18</v>
      </c>
      <c r="G10" t="s">
        <v>20</v>
      </c>
      <c r="H10">
        <v>848.61</v>
      </c>
      <c r="I10" t="str">
        <f t="shared" si="0"/>
        <v>Jan/2024</v>
      </c>
      <c r="J10">
        <f t="shared" si="1"/>
        <v>4112.2199999999993</v>
      </c>
    </row>
    <row r="11" spans="1:12" hidden="1">
      <c r="A11">
        <v>10</v>
      </c>
      <c r="B11">
        <v>20</v>
      </c>
      <c r="C11" t="s">
        <v>8</v>
      </c>
      <c r="D11" s="1">
        <v>45448</v>
      </c>
      <c r="E11" t="s">
        <v>9</v>
      </c>
      <c r="F11" t="s">
        <v>18</v>
      </c>
      <c r="G11" t="s">
        <v>11</v>
      </c>
      <c r="H11">
        <v>478.48</v>
      </c>
      <c r="I11" t="str">
        <f t="shared" si="0"/>
        <v>Jun/2024</v>
      </c>
      <c r="J11">
        <f t="shared" si="1"/>
        <v>4590.6999999999989</v>
      </c>
    </row>
    <row r="12" spans="1:12" hidden="1">
      <c r="A12">
        <v>11</v>
      </c>
      <c r="B12">
        <v>45</v>
      </c>
      <c r="C12" t="s">
        <v>8</v>
      </c>
      <c r="D12" s="1">
        <v>45410</v>
      </c>
      <c r="E12" t="s">
        <v>26</v>
      </c>
      <c r="F12" t="s">
        <v>21</v>
      </c>
      <c r="G12" t="s">
        <v>16</v>
      </c>
      <c r="H12">
        <v>217.96</v>
      </c>
      <c r="I12" t="str">
        <f t="shared" si="0"/>
        <v>Apr/2024</v>
      </c>
      <c r="J12">
        <f t="shared" si="1"/>
        <v>4808.6599999999989</v>
      </c>
    </row>
    <row r="13" spans="1:12" hidden="1">
      <c r="A13">
        <v>12</v>
      </c>
      <c r="B13">
        <v>86</v>
      </c>
      <c r="C13" t="s">
        <v>8</v>
      </c>
      <c r="D13" s="1">
        <v>45347</v>
      </c>
      <c r="E13" t="s">
        <v>9</v>
      </c>
      <c r="F13" t="s">
        <v>10</v>
      </c>
      <c r="G13" t="s">
        <v>20</v>
      </c>
      <c r="H13">
        <v>485.02</v>
      </c>
      <c r="I13" t="str">
        <f t="shared" si="0"/>
        <v>Feb/2024</v>
      </c>
      <c r="J13">
        <f t="shared" si="1"/>
        <v>5293.6799999999985</v>
      </c>
    </row>
    <row r="14" spans="1:12" hidden="1">
      <c r="A14">
        <v>13</v>
      </c>
      <c r="B14">
        <v>87</v>
      </c>
      <c r="C14" t="s">
        <v>19</v>
      </c>
      <c r="D14" s="1">
        <v>45463</v>
      </c>
      <c r="E14" t="s">
        <v>9</v>
      </c>
      <c r="F14" t="s">
        <v>10</v>
      </c>
      <c r="G14" t="s">
        <v>11</v>
      </c>
      <c r="H14">
        <v>714.63</v>
      </c>
      <c r="I14" t="str">
        <f t="shared" si="0"/>
        <v>Jun/2024</v>
      </c>
      <c r="J14">
        <f t="shared" si="1"/>
        <v>6008.3099999999986</v>
      </c>
    </row>
    <row r="15" spans="1:12" hidden="1">
      <c r="A15">
        <v>14</v>
      </c>
      <c r="B15">
        <v>72</v>
      </c>
      <c r="C15" t="s">
        <v>19</v>
      </c>
      <c r="D15" s="1">
        <v>45420</v>
      </c>
      <c r="E15" t="s">
        <v>26</v>
      </c>
      <c r="F15" t="s">
        <v>18</v>
      </c>
      <c r="G15" t="s">
        <v>20</v>
      </c>
      <c r="H15">
        <v>603.94000000000005</v>
      </c>
      <c r="I15" t="str">
        <f t="shared" si="0"/>
        <v>May/2024</v>
      </c>
      <c r="J15">
        <f t="shared" si="1"/>
        <v>6612.2499999999982</v>
      </c>
    </row>
    <row r="16" spans="1:12" hidden="1">
      <c r="A16">
        <v>15</v>
      </c>
      <c r="B16">
        <v>74</v>
      </c>
      <c r="C16" t="s">
        <v>19</v>
      </c>
      <c r="D16" s="1">
        <v>45415</v>
      </c>
      <c r="E16" t="s">
        <v>9</v>
      </c>
      <c r="F16" t="s">
        <v>18</v>
      </c>
      <c r="G16" t="s">
        <v>20</v>
      </c>
      <c r="H16">
        <v>189.55</v>
      </c>
      <c r="I16" t="str">
        <f t="shared" si="0"/>
        <v>May/2024</v>
      </c>
      <c r="J16">
        <f t="shared" si="1"/>
        <v>6801.7999999999984</v>
      </c>
    </row>
    <row r="17" spans="1:10" hidden="1">
      <c r="A17">
        <v>16</v>
      </c>
      <c r="B17">
        <v>10</v>
      </c>
      <c r="C17" t="s">
        <v>12</v>
      </c>
      <c r="D17" s="1">
        <v>45311</v>
      </c>
      <c r="E17" t="s">
        <v>9</v>
      </c>
      <c r="F17" t="s">
        <v>10</v>
      </c>
      <c r="G17" t="s">
        <v>16</v>
      </c>
      <c r="H17">
        <v>458.79</v>
      </c>
      <c r="I17" t="str">
        <f t="shared" si="0"/>
        <v>Jan/2024</v>
      </c>
      <c r="J17">
        <f t="shared" si="1"/>
        <v>7260.5899999999983</v>
      </c>
    </row>
    <row r="18" spans="1:10" hidden="1">
      <c r="A18">
        <v>17</v>
      </c>
      <c r="B18">
        <v>53</v>
      </c>
      <c r="C18" t="s">
        <v>8</v>
      </c>
      <c r="D18" s="1">
        <v>45426</v>
      </c>
      <c r="E18" t="s">
        <v>15</v>
      </c>
      <c r="F18" t="s">
        <v>10</v>
      </c>
      <c r="G18" t="s">
        <v>11</v>
      </c>
      <c r="H18">
        <v>509.35</v>
      </c>
      <c r="I18" t="str">
        <f t="shared" si="0"/>
        <v>May/2024</v>
      </c>
      <c r="J18">
        <f t="shared" si="1"/>
        <v>7769.9399999999987</v>
      </c>
    </row>
    <row r="19" spans="1:10" hidden="1">
      <c r="A19">
        <v>18</v>
      </c>
      <c r="B19">
        <v>63</v>
      </c>
      <c r="C19" t="s">
        <v>19</v>
      </c>
      <c r="D19" s="1">
        <v>45433</v>
      </c>
      <c r="E19" t="s">
        <v>9</v>
      </c>
      <c r="F19" t="s">
        <v>18</v>
      </c>
      <c r="G19" t="s">
        <v>11</v>
      </c>
      <c r="H19">
        <v>538.99</v>
      </c>
      <c r="I19" t="str">
        <f t="shared" si="0"/>
        <v>May/2024</v>
      </c>
      <c r="J19">
        <f t="shared" si="1"/>
        <v>8308.9299999999985</v>
      </c>
    </row>
    <row r="20" spans="1:10" hidden="1">
      <c r="A20">
        <v>19</v>
      </c>
      <c r="B20">
        <v>28</v>
      </c>
      <c r="C20" t="s">
        <v>12</v>
      </c>
      <c r="D20" s="1">
        <v>45337</v>
      </c>
      <c r="E20" t="s">
        <v>15</v>
      </c>
      <c r="F20" t="s">
        <v>18</v>
      </c>
      <c r="G20" t="s">
        <v>20</v>
      </c>
      <c r="H20">
        <v>34.93</v>
      </c>
      <c r="I20" t="str">
        <f t="shared" si="0"/>
        <v>Feb/2024</v>
      </c>
      <c r="J20">
        <f t="shared" si="1"/>
        <v>8343.8599999999988</v>
      </c>
    </row>
    <row r="21" spans="1:10">
      <c r="A21">
        <v>20</v>
      </c>
      <c r="B21">
        <v>81</v>
      </c>
      <c r="C21" t="s">
        <v>8</v>
      </c>
      <c r="D21" s="1">
        <v>45437</v>
      </c>
      <c r="E21" t="s">
        <v>15</v>
      </c>
      <c r="F21" t="s">
        <v>21</v>
      </c>
      <c r="G21" t="s">
        <v>20</v>
      </c>
      <c r="H21">
        <v>557.11</v>
      </c>
      <c r="I21" t="str">
        <f t="shared" si="0"/>
        <v>May/2024</v>
      </c>
      <c r="J21">
        <f t="shared" si="1"/>
        <v>8900.9699999999993</v>
      </c>
    </row>
    <row r="22" spans="1:10" hidden="1">
      <c r="A22">
        <v>21</v>
      </c>
      <c r="B22">
        <v>67</v>
      </c>
      <c r="C22" t="s">
        <v>12</v>
      </c>
      <c r="D22" s="1">
        <v>45415</v>
      </c>
      <c r="E22" t="s">
        <v>26</v>
      </c>
      <c r="F22" t="s">
        <v>10</v>
      </c>
      <c r="G22" t="s">
        <v>11</v>
      </c>
      <c r="H22">
        <v>831.43</v>
      </c>
      <c r="I22" t="str">
        <f t="shared" si="0"/>
        <v>May/2024</v>
      </c>
      <c r="J22">
        <f t="shared" si="1"/>
        <v>9732.4</v>
      </c>
    </row>
    <row r="23" spans="1:10" hidden="1">
      <c r="A23">
        <v>22</v>
      </c>
      <c r="B23">
        <v>6</v>
      </c>
      <c r="C23" t="s">
        <v>8</v>
      </c>
      <c r="D23" s="1">
        <v>45357</v>
      </c>
      <c r="E23" t="s">
        <v>26</v>
      </c>
      <c r="F23" t="s">
        <v>10</v>
      </c>
      <c r="G23" t="s">
        <v>11</v>
      </c>
      <c r="H23">
        <v>504.9</v>
      </c>
      <c r="I23" t="str">
        <f t="shared" si="0"/>
        <v>Mar/2024</v>
      </c>
      <c r="J23">
        <f t="shared" si="1"/>
        <v>10237.299999999999</v>
      </c>
    </row>
    <row r="24" spans="1:10" hidden="1">
      <c r="A24">
        <v>23</v>
      </c>
      <c r="B24">
        <v>33</v>
      </c>
      <c r="C24" t="s">
        <v>8</v>
      </c>
      <c r="D24" s="1">
        <v>45418</v>
      </c>
      <c r="E24" t="s">
        <v>26</v>
      </c>
      <c r="F24" t="s">
        <v>21</v>
      </c>
      <c r="G24" t="s">
        <v>16</v>
      </c>
      <c r="H24">
        <v>349.23</v>
      </c>
      <c r="I24" t="str">
        <f t="shared" si="0"/>
        <v>May/2024</v>
      </c>
      <c r="J24">
        <f t="shared" si="1"/>
        <v>10586.529999999999</v>
      </c>
    </row>
    <row r="25" spans="1:10" hidden="1">
      <c r="A25">
        <v>24</v>
      </c>
      <c r="B25">
        <v>15</v>
      </c>
      <c r="C25" t="s">
        <v>8</v>
      </c>
      <c r="D25" s="1">
        <v>45345</v>
      </c>
      <c r="E25" t="s">
        <v>9</v>
      </c>
      <c r="F25" t="s">
        <v>18</v>
      </c>
      <c r="G25" t="s">
        <v>11</v>
      </c>
      <c r="H25">
        <v>560.39</v>
      </c>
      <c r="I25" t="str">
        <f t="shared" si="0"/>
        <v>Feb/2024</v>
      </c>
      <c r="J25">
        <f t="shared" si="1"/>
        <v>11146.919999999998</v>
      </c>
    </row>
    <row r="26" spans="1:10" hidden="1">
      <c r="A26">
        <v>25</v>
      </c>
      <c r="B26">
        <v>13</v>
      </c>
      <c r="C26" t="s">
        <v>19</v>
      </c>
      <c r="D26" s="1">
        <v>45341</v>
      </c>
      <c r="E26" t="s">
        <v>26</v>
      </c>
      <c r="F26" t="s">
        <v>21</v>
      </c>
      <c r="G26" t="s">
        <v>20</v>
      </c>
      <c r="H26">
        <v>629.71</v>
      </c>
      <c r="I26" t="str">
        <f t="shared" si="0"/>
        <v>Feb/2024</v>
      </c>
      <c r="J26">
        <f t="shared" si="1"/>
        <v>11776.629999999997</v>
      </c>
    </row>
    <row r="27" spans="1:10" hidden="1">
      <c r="A27">
        <v>26</v>
      </c>
      <c r="B27">
        <v>39</v>
      </c>
      <c r="C27" t="s">
        <v>8</v>
      </c>
      <c r="D27" s="1">
        <v>45458</v>
      </c>
      <c r="E27" t="s">
        <v>9</v>
      </c>
      <c r="F27" t="s">
        <v>21</v>
      </c>
      <c r="G27" t="s">
        <v>11</v>
      </c>
      <c r="H27">
        <v>975.44</v>
      </c>
      <c r="I27" t="str">
        <f t="shared" si="0"/>
        <v>Jun/2024</v>
      </c>
      <c r="J27">
        <f t="shared" si="1"/>
        <v>12752.069999999998</v>
      </c>
    </row>
    <row r="28" spans="1:10" hidden="1">
      <c r="A28">
        <v>27</v>
      </c>
      <c r="B28">
        <v>60</v>
      </c>
      <c r="C28" t="s">
        <v>19</v>
      </c>
      <c r="D28" s="1">
        <v>45420</v>
      </c>
      <c r="E28" t="s">
        <v>9</v>
      </c>
      <c r="F28" t="s">
        <v>21</v>
      </c>
      <c r="G28" t="s">
        <v>20</v>
      </c>
      <c r="H28">
        <v>737.54</v>
      </c>
      <c r="I28" t="str">
        <f t="shared" si="0"/>
        <v>May/2024</v>
      </c>
      <c r="J28">
        <f t="shared" si="1"/>
        <v>13489.609999999997</v>
      </c>
    </row>
    <row r="29" spans="1:10" hidden="1">
      <c r="A29">
        <v>28</v>
      </c>
      <c r="B29">
        <v>42</v>
      </c>
      <c r="C29" t="s">
        <v>8</v>
      </c>
      <c r="D29" s="1">
        <v>45293</v>
      </c>
      <c r="E29" t="s">
        <v>9</v>
      </c>
      <c r="F29" t="s">
        <v>18</v>
      </c>
      <c r="G29" t="s">
        <v>20</v>
      </c>
      <c r="H29">
        <v>592.87</v>
      </c>
      <c r="I29" t="str">
        <f t="shared" si="0"/>
        <v>Jan/2024</v>
      </c>
      <c r="J29">
        <f t="shared" si="1"/>
        <v>14082.479999999998</v>
      </c>
    </row>
    <row r="30" spans="1:10" hidden="1">
      <c r="A30">
        <v>29</v>
      </c>
      <c r="B30">
        <v>3</v>
      </c>
      <c r="C30" t="s">
        <v>8</v>
      </c>
      <c r="D30" s="1">
        <v>45304</v>
      </c>
      <c r="E30" t="s">
        <v>9</v>
      </c>
      <c r="F30" t="s">
        <v>21</v>
      </c>
      <c r="G30" t="s">
        <v>16</v>
      </c>
      <c r="H30">
        <v>99.82</v>
      </c>
      <c r="I30" t="str">
        <f t="shared" si="0"/>
        <v>Jan/2024</v>
      </c>
      <c r="J30">
        <f t="shared" si="1"/>
        <v>14182.299999999997</v>
      </c>
    </row>
    <row r="31" spans="1:10" hidden="1">
      <c r="A31">
        <v>30</v>
      </c>
      <c r="B31">
        <v>17</v>
      </c>
      <c r="C31" t="s">
        <v>12</v>
      </c>
      <c r="D31" s="1">
        <v>45313</v>
      </c>
      <c r="E31" t="s">
        <v>26</v>
      </c>
      <c r="F31" t="s">
        <v>18</v>
      </c>
      <c r="G31" t="s">
        <v>11</v>
      </c>
      <c r="H31">
        <v>106.34</v>
      </c>
      <c r="I31" t="str">
        <f t="shared" si="0"/>
        <v>Jan/2024</v>
      </c>
      <c r="J31">
        <f t="shared" si="1"/>
        <v>14288.639999999998</v>
      </c>
    </row>
    <row r="32" spans="1:10" hidden="1">
      <c r="A32">
        <v>31</v>
      </c>
      <c r="B32">
        <v>30</v>
      </c>
      <c r="C32" t="s">
        <v>8</v>
      </c>
      <c r="D32" s="1">
        <v>45412</v>
      </c>
      <c r="E32" t="s">
        <v>26</v>
      </c>
      <c r="F32" t="s">
        <v>18</v>
      </c>
      <c r="G32" t="s">
        <v>16</v>
      </c>
      <c r="H32">
        <v>352.58</v>
      </c>
      <c r="I32" t="str">
        <f t="shared" si="0"/>
        <v>Apr/2024</v>
      </c>
      <c r="J32">
        <f t="shared" si="1"/>
        <v>14641.219999999998</v>
      </c>
    </row>
    <row r="33" spans="1:10" hidden="1">
      <c r="A33">
        <v>32</v>
      </c>
      <c r="B33">
        <v>25</v>
      </c>
      <c r="C33" t="s">
        <v>8</v>
      </c>
      <c r="D33" s="1">
        <v>45380</v>
      </c>
      <c r="E33" t="s">
        <v>26</v>
      </c>
      <c r="F33" t="s">
        <v>21</v>
      </c>
      <c r="G33" t="s">
        <v>11</v>
      </c>
      <c r="H33">
        <v>734.12</v>
      </c>
      <c r="I33" t="str">
        <f t="shared" si="0"/>
        <v>Mar/2024</v>
      </c>
      <c r="J33">
        <f t="shared" si="1"/>
        <v>15375.339999999998</v>
      </c>
    </row>
    <row r="34" spans="1:10" hidden="1">
      <c r="A34">
        <v>33</v>
      </c>
      <c r="B34">
        <v>14</v>
      </c>
      <c r="C34" t="s">
        <v>19</v>
      </c>
      <c r="D34" s="1">
        <v>45427</v>
      </c>
      <c r="E34" t="s">
        <v>15</v>
      </c>
      <c r="F34" t="s">
        <v>10</v>
      </c>
      <c r="G34" t="s">
        <v>11</v>
      </c>
      <c r="H34">
        <v>953.54</v>
      </c>
      <c r="I34" t="str">
        <f t="shared" si="0"/>
        <v>May/2024</v>
      </c>
      <c r="J34">
        <f t="shared" si="1"/>
        <v>16328.879999999997</v>
      </c>
    </row>
    <row r="35" spans="1:10" hidden="1">
      <c r="A35">
        <v>34</v>
      </c>
      <c r="B35">
        <v>58</v>
      </c>
      <c r="C35" t="s">
        <v>8</v>
      </c>
      <c r="D35" s="1">
        <v>45462</v>
      </c>
      <c r="E35" t="s">
        <v>26</v>
      </c>
      <c r="F35" t="s">
        <v>18</v>
      </c>
      <c r="G35" t="s">
        <v>20</v>
      </c>
      <c r="H35">
        <v>753.89</v>
      </c>
      <c r="I35" t="str">
        <f t="shared" si="0"/>
        <v>Jun/2024</v>
      </c>
      <c r="J35">
        <f t="shared" si="1"/>
        <v>17082.769999999997</v>
      </c>
    </row>
    <row r="36" spans="1:10" hidden="1">
      <c r="A36">
        <v>35</v>
      </c>
      <c r="B36">
        <v>48</v>
      </c>
      <c r="C36" t="s">
        <v>12</v>
      </c>
      <c r="D36" s="1">
        <v>45386</v>
      </c>
      <c r="E36" t="s">
        <v>9</v>
      </c>
      <c r="F36" t="s">
        <v>18</v>
      </c>
      <c r="G36" t="s">
        <v>16</v>
      </c>
      <c r="H36">
        <v>955.91</v>
      </c>
      <c r="I36" t="str">
        <f t="shared" si="0"/>
        <v>Apr/2024</v>
      </c>
      <c r="J36">
        <f t="shared" si="1"/>
        <v>18038.679999999997</v>
      </c>
    </row>
    <row r="37" spans="1:10" hidden="1">
      <c r="A37">
        <v>36</v>
      </c>
      <c r="B37">
        <v>20</v>
      </c>
      <c r="C37" t="s">
        <v>8</v>
      </c>
      <c r="D37" s="1">
        <v>45447</v>
      </c>
      <c r="E37" t="s">
        <v>26</v>
      </c>
      <c r="F37" t="s">
        <v>18</v>
      </c>
      <c r="G37" t="s">
        <v>16</v>
      </c>
      <c r="H37">
        <v>776.91</v>
      </c>
      <c r="I37" t="str">
        <f t="shared" si="0"/>
        <v>Jun/2024</v>
      </c>
      <c r="J37">
        <f t="shared" si="1"/>
        <v>18815.589999999997</v>
      </c>
    </row>
    <row r="38" spans="1:10" hidden="1">
      <c r="A38">
        <v>37</v>
      </c>
      <c r="B38">
        <v>68</v>
      </c>
      <c r="C38" t="s">
        <v>19</v>
      </c>
      <c r="D38" s="1">
        <v>45311</v>
      </c>
      <c r="E38" t="s">
        <v>15</v>
      </c>
      <c r="F38" t="s">
        <v>18</v>
      </c>
      <c r="G38" t="s">
        <v>20</v>
      </c>
      <c r="H38">
        <v>607.96</v>
      </c>
      <c r="I38" t="str">
        <f t="shared" si="0"/>
        <v>Jan/2024</v>
      </c>
      <c r="J38">
        <f t="shared" si="1"/>
        <v>19423.549999999996</v>
      </c>
    </row>
    <row r="39" spans="1:10" hidden="1">
      <c r="A39">
        <v>38</v>
      </c>
      <c r="B39">
        <v>51</v>
      </c>
      <c r="C39" t="s">
        <v>12</v>
      </c>
      <c r="D39" s="1">
        <v>45451</v>
      </c>
      <c r="E39" t="s">
        <v>15</v>
      </c>
      <c r="F39" t="s">
        <v>21</v>
      </c>
      <c r="G39" t="s">
        <v>16</v>
      </c>
      <c r="H39">
        <v>107.7</v>
      </c>
      <c r="I39" t="str">
        <f t="shared" si="0"/>
        <v>Jun/2024</v>
      </c>
      <c r="J39">
        <f t="shared" si="1"/>
        <v>19531.249999999996</v>
      </c>
    </row>
    <row r="40" spans="1:10" hidden="1">
      <c r="A40">
        <v>39</v>
      </c>
      <c r="B40">
        <v>12</v>
      </c>
      <c r="C40" t="s">
        <v>12</v>
      </c>
      <c r="D40" s="1">
        <v>45468</v>
      </c>
      <c r="E40" t="s">
        <v>15</v>
      </c>
      <c r="F40" t="s">
        <v>18</v>
      </c>
      <c r="G40" t="s">
        <v>20</v>
      </c>
      <c r="H40">
        <v>27.24</v>
      </c>
      <c r="I40" t="str">
        <f t="shared" si="0"/>
        <v>Jun/2024</v>
      </c>
      <c r="J40">
        <f t="shared" si="1"/>
        <v>19558.489999999998</v>
      </c>
    </row>
    <row r="41" spans="1:10" hidden="1">
      <c r="A41">
        <v>40</v>
      </c>
      <c r="B41">
        <v>92</v>
      </c>
      <c r="C41" t="s">
        <v>19</v>
      </c>
      <c r="D41" s="1">
        <v>45297</v>
      </c>
      <c r="E41" t="s">
        <v>26</v>
      </c>
      <c r="F41" t="s">
        <v>18</v>
      </c>
      <c r="G41" t="s">
        <v>11</v>
      </c>
      <c r="H41">
        <v>370.83</v>
      </c>
      <c r="I41" t="str">
        <f t="shared" si="0"/>
        <v>Jan/2024</v>
      </c>
      <c r="J41">
        <f t="shared" si="1"/>
        <v>19929.32</v>
      </c>
    </row>
    <row r="42" spans="1:10" hidden="1">
      <c r="A42">
        <v>41</v>
      </c>
      <c r="B42">
        <v>63</v>
      </c>
      <c r="C42" t="s">
        <v>12</v>
      </c>
      <c r="D42" s="1">
        <v>45362</v>
      </c>
      <c r="E42" t="s">
        <v>9</v>
      </c>
      <c r="F42" t="s">
        <v>10</v>
      </c>
      <c r="G42" t="s">
        <v>20</v>
      </c>
      <c r="H42">
        <v>526.08000000000004</v>
      </c>
      <c r="I42" t="str">
        <f t="shared" si="0"/>
        <v>Mar/2024</v>
      </c>
      <c r="J42">
        <f t="shared" si="1"/>
        <v>20455.400000000001</v>
      </c>
    </row>
    <row r="43" spans="1:10" hidden="1">
      <c r="A43">
        <v>42</v>
      </c>
      <c r="B43">
        <v>49</v>
      </c>
      <c r="C43" t="s">
        <v>12</v>
      </c>
      <c r="D43" s="1">
        <v>45430</v>
      </c>
      <c r="E43" t="s">
        <v>26</v>
      </c>
      <c r="F43" t="s">
        <v>18</v>
      </c>
      <c r="G43" t="s">
        <v>16</v>
      </c>
      <c r="H43">
        <v>144.38</v>
      </c>
      <c r="I43" t="str">
        <f t="shared" si="0"/>
        <v>May/2024</v>
      </c>
      <c r="J43">
        <f t="shared" si="1"/>
        <v>20599.780000000002</v>
      </c>
    </row>
    <row r="44" spans="1:10" hidden="1">
      <c r="A44">
        <v>43</v>
      </c>
      <c r="B44">
        <v>72</v>
      </c>
      <c r="C44" t="s">
        <v>19</v>
      </c>
      <c r="D44" s="1">
        <v>45374</v>
      </c>
      <c r="E44" t="s">
        <v>26</v>
      </c>
      <c r="F44" t="s">
        <v>21</v>
      </c>
      <c r="G44" t="s">
        <v>11</v>
      </c>
      <c r="H44">
        <v>534.33000000000004</v>
      </c>
      <c r="I44" t="str">
        <f t="shared" si="0"/>
        <v>Mar/2024</v>
      </c>
      <c r="J44">
        <f t="shared" si="1"/>
        <v>21134.110000000004</v>
      </c>
    </row>
    <row r="45" spans="1:10" hidden="1">
      <c r="A45">
        <v>44</v>
      </c>
      <c r="B45">
        <v>24</v>
      </c>
      <c r="C45" t="s">
        <v>8</v>
      </c>
      <c r="D45" s="1">
        <v>45430</v>
      </c>
      <c r="E45" t="s">
        <v>26</v>
      </c>
      <c r="F45" t="s">
        <v>10</v>
      </c>
      <c r="G45" t="s">
        <v>11</v>
      </c>
      <c r="H45">
        <v>456.8</v>
      </c>
      <c r="I45" t="str">
        <f t="shared" si="0"/>
        <v>May/2024</v>
      </c>
      <c r="J45">
        <f t="shared" si="1"/>
        <v>21590.910000000003</v>
      </c>
    </row>
    <row r="46" spans="1:10" hidden="1">
      <c r="A46">
        <v>45</v>
      </c>
      <c r="B46">
        <v>64</v>
      </c>
      <c r="C46" t="s">
        <v>12</v>
      </c>
      <c r="D46" s="1">
        <v>45439</v>
      </c>
      <c r="E46" t="s">
        <v>26</v>
      </c>
      <c r="F46" t="s">
        <v>10</v>
      </c>
      <c r="G46" t="s">
        <v>16</v>
      </c>
      <c r="H46">
        <v>215.01</v>
      </c>
      <c r="I46" t="str">
        <f t="shared" si="0"/>
        <v>May/2024</v>
      </c>
      <c r="J46">
        <f t="shared" si="1"/>
        <v>21805.920000000002</v>
      </c>
    </row>
    <row r="47" spans="1:10" hidden="1">
      <c r="A47">
        <v>46</v>
      </c>
      <c r="B47">
        <v>36</v>
      </c>
      <c r="C47" t="s">
        <v>8</v>
      </c>
      <c r="D47" s="1">
        <v>45406</v>
      </c>
      <c r="E47" t="s">
        <v>26</v>
      </c>
      <c r="F47" t="s">
        <v>21</v>
      </c>
      <c r="G47" t="s">
        <v>20</v>
      </c>
      <c r="H47">
        <v>824.3</v>
      </c>
      <c r="I47" t="str">
        <f t="shared" si="0"/>
        <v>Apr/2024</v>
      </c>
      <c r="J47">
        <f t="shared" si="1"/>
        <v>22630.22</v>
      </c>
    </row>
    <row r="48" spans="1:10" hidden="1">
      <c r="A48">
        <v>47</v>
      </c>
      <c r="B48">
        <v>79</v>
      </c>
      <c r="C48" t="s">
        <v>8</v>
      </c>
      <c r="D48" s="1">
        <v>45336</v>
      </c>
      <c r="E48" t="s">
        <v>9</v>
      </c>
      <c r="F48" t="s">
        <v>18</v>
      </c>
      <c r="G48" t="s">
        <v>20</v>
      </c>
      <c r="H48">
        <v>769.28</v>
      </c>
      <c r="I48" t="str">
        <f t="shared" si="0"/>
        <v>Feb/2024</v>
      </c>
      <c r="J48">
        <f t="shared" si="1"/>
        <v>23399.5</v>
      </c>
    </row>
    <row r="49" spans="1:10" hidden="1">
      <c r="A49">
        <v>48</v>
      </c>
      <c r="B49">
        <v>36</v>
      </c>
      <c r="C49" t="s">
        <v>8</v>
      </c>
      <c r="D49" s="1">
        <v>45294</v>
      </c>
      <c r="E49" t="s">
        <v>9</v>
      </c>
      <c r="F49" t="s">
        <v>21</v>
      </c>
      <c r="G49" t="s">
        <v>20</v>
      </c>
      <c r="H49">
        <v>160.25</v>
      </c>
      <c r="I49" t="str">
        <f t="shared" si="0"/>
        <v>Jan/2024</v>
      </c>
      <c r="J49">
        <f t="shared" si="1"/>
        <v>23559.75</v>
      </c>
    </row>
    <row r="50" spans="1:10" hidden="1">
      <c r="A50">
        <v>49</v>
      </c>
      <c r="B50">
        <v>65</v>
      </c>
      <c r="C50" t="s">
        <v>12</v>
      </c>
      <c r="D50" s="1">
        <v>45346</v>
      </c>
      <c r="E50" t="s">
        <v>9</v>
      </c>
      <c r="F50" t="s">
        <v>10</v>
      </c>
      <c r="G50" t="s">
        <v>16</v>
      </c>
      <c r="H50">
        <v>386.17</v>
      </c>
      <c r="I50" t="str">
        <f t="shared" si="0"/>
        <v>Feb/2024</v>
      </c>
      <c r="J50">
        <f t="shared" si="1"/>
        <v>23945.919999999998</v>
      </c>
    </row>
    <row r="51" spans="1:10" hidden="1">
      <c r="A51">
        <v>50</v>
      </c>
      <c r="B51">
        <v>9</v>
      </c>
      <c r="C51" t="s">
        <v>12</v>
      </c>
      <c r="D51" s="1">
        <v>45297</v>
      </c>
      <c r="E51" t="s">
        <v>9</v>
      </c>
      <c r="F51" t="s">
        <v>21</v>
      </c>
      <c r="G51" t="s">
        <v>20</v>
      </c>
      <c r="H51">
        <v>572.08000000000004</v>
      </c>
      <c r="I51" t="str">
        <f t="shared" si="0"/>
        <v>Jan/2024</v>
      </c>
      <c r="J51">
        <f t="shared" si="1"/>
        <v>24518</v>
      </c>
    </row>
    <row r="52" spans="1:10" hidden="1">
      <c r="A52">
        <v>51</v>
      </c>
      <c r="B52">
        <v>10</v>
      </c>
      <c r="C52" t="s">
        <v>8</v>
      </c>
      <c r="D52" s="1">
        <v>45469</v>
      </c>
      <c r="E52" t="s">
        <v>15</v>
      </c>
      <c r="F52" t="s">
        <v>10</v>
      </c>
      <c r="G52" t="s">
        <v>11</v>
      </c>
      <c r="H52">
        <v>433.85</v>
      </c>
      <c r="I52" t="str">
        <f t="shared" si="0"/>
        <v>Jun/2024</v>
      </c>
      <c r="J52">
        <f t="shared" si="1"/>
        <v>24951.85</v>
      </c>
    </row>
    <row r="53" spans="1:10" hidden="1">
      <c r="A53">
        <v>52</v>
      </c>
      <c r="B53">
        <v>7</v>
      </c>
      <c r="C53" t="s">
        <v>8</v>
      </c>
      <c r="D53" s="1">
        <v>45431</v>
      </c>
      <c r="E53" t="s">
        <v>26</v>
      </c>
      <c r="F53" t="s">
        <v>10</v>
      </c>
      <c r="G53" t="s">
        <v>20</v>
      </c>
      <c r="H53">
        <v>338.1</v>
      </c>
      <c r="I53" t="str">
        <f t="shared" si="0"/>
        <v>May/2024</v>
      </c>
      <c r="J53">
        <f t="shared" si="1"/>
        <v>25289.949999999997</v>
      </c>
    </row>
    <row r="54" spans="1:10">
      <c r="A54">
        <v>53</v>
      </c>
      <c r="B54">
        <v>81</v>
      </c>
      <c r="C54" t="s">
        <v>12</v>
      </c>
      <c r="D54" s="1">
        <v>45294</v>
      </c>
      <c r="E54" t="s">
        <v>26</v>
      </c>
      <c r="F54" t="s">
        <v>18</v>
      </c>
      <c r="G54" t="s">
        <v>16</v>
      </c>
      <c r="H54">
        <v>93.13</v>
      </c>
      <c r="I54" t="str">
        <f t="shared" si="0"/>
        <v>Jan/2024</v>
      </c>
      <c r="J54">
        <f t="shared" si="1"/>
        <v>25383.079999999998</v>
      </c>
    </row>
    <row r="55" spans="1:10" hidden="1">
      <c r="A55">
        <v>54</v>
      </c>
      <c r="B55">
        <v>62</v>
      </c>
      <c r="C55" t="s">
        <v>19</v>
      </c>
      <c r="D55" s="1">
        <v>45426</v>
      </c>
      <c r="E55" t="s">
        <v>9</v>
      </c>
      <c r="F55" t="s">
        <v>21</v>
      </c>
      <c r="G55" t="s">
        <v>11</v>
      </c>
      <c r="H55">
        <v>308.37</v>
      </c>
      <c r="I55" t="str">
        <f t="shared" si="0"/>
        <v>May/2024</v>
      </c>
      <c r="J55">
        <f t="shared" si="1"/>
        <v>25691.449999999997</v>
      </c>
    </row>
    <row r="56" spans="1:10" hidden="1">
      <c r="A56">
        <v>55</v>
      </c>
      <c r="B56">
        <v>29</v>
      </c>
      <c r="C56" t="s">
        <v>8</v>
      </c>
      <c r="D56" s="1">
        <v>45374</v>
      </c>
      <c r="E56" t="s">
        <v>15</v>
      </c>
      <c r="F56" t="s">
        <v>18</v>
      </c>
      <c r="G56" t="s">
        <v>16</v>
      </c>
      <c r="H56">
        <v>396.58</v>
      </c>
      <c r="I56" t="str">
        <f t="shared" si="0"/>
        <v>Mar/2024</v>
      </c>
      <c r="J56">
        <f t="shared" si="1"/>
        <v>26088.03</v>
      </c>
    </row>
    <row r="57" spans="1:10" hidden="1">
      <c r="A57">
        <v>56</v>
      </c>
      <c r="B57">
        <v>73</v>
      </c>
      <c r="C57" t="s">
        <v>8</v>
      </c>
      <c r="D57" s="1">
        <v>45310</v>
      </c>
      <c r="E57" t="s">
        <v>26</v>
      </c>
      <c r="F57" t="s">
        <v>10</v>
      </c>
      <c r="G57" t="s">
        <v>16</v>
      </c>
      <c r="H57">
        <v>957.6</v>
      </c>
      <c r="I57" t="str">
        <f t="shared" si="0"/>
        <v>Jan/2024</v>
      </c>
      <c r="J57">
        <f t="shared" si="1"/>
        <v>27045.629999999997</v>
      </c>
    </row>
    <row r="58" spans="1:10" hidden="1">
      <c r="A58">
        <v>57</v>
      </c>
      <c r="B58">
        <v>86</v>
      </c>
      <c r="C58" t="s">
        <v>8</v>
      </c>
      <c r="D58" s="1">
        <v>45357</v>
      </c>
      <c r="E58" t="s">
        <v>15</v>
      </c>
      <c r="F58" t="s">
        <v>21</v>
      </c>
      <c r="G58" t="s">
        <v>16</v>
      </c>
      <c r="H58">
        <v>205.19</v>
      </c>
      <c r="I58" t="str">
        <f t="shared" si="0"/>
        <v>Mar/2024</v>
      </c>
      <c r="J58">
        <f t="shared" si="1"/>
        <v>27250.819999999996</v>
      </c>
    </row>
    <row r="59" spans="1:10" hidden="1">
      <c r="A59">
        <v>58</v>
      </c>
      <c r="B59">
        <v>5</v>
      </c>
      <c r="C59" t="s">
        <v>19</v>
      </c>
      <c r="D59" s="1">
        <v>45437</v>
      </c>
      <c r="E59" t="s">
        <v>9</v>
      </c>
      <c r="F59" t="s">
        <v>18</v>
      </c>
      <c r="G59" t="s">
        <v>20</v>
      </c>
      <c r="H59">
        <v>300.27</v>
      </c>
      <c r="I59" t="str">
        <f t="shared" si="0"/>
        <v>May/2024</v>
      </c>
      <c r="J59">
        <f t="shared" si="1"/>
        <v>27551.089999999997</v>
      </c>
    </row>
    <row r="60" spans="1:10" hidden="1">
      <c r="A60">
        <v>59</v>
      </c>
      <c r="B60">
        <v>79</v>
      </c>
      <c r="C60" t="s">
        <v>8</v>
      </c>
      <c r="D60" s="1">
        <v>45361</v>
      </c>
      <c r="E60" t="s">
        <v>15</v>
      </c>
      <c r="F60" t="s">
        <v>18</v>
      </c>
      <c r="G60" t="s">
        <v>16</v>
      </c>
      <c r="H60">
        <v>671.22</v>
      </c>
      <c r="I60" t="str">
        <f t="shared" si="0"/>
        <v>Mar/2024</v>
      </c>
      <c r="J60">
        <f t="shared" si="1"/>
        <v>28222.309999999998</v>
      </c>
    </row>
    <row r="61" spans="1:10" hidden="1">
      <c r="A61">
        <v>60</v>
      </c>
      <c r="B61">
        <v>87</v>
      </c>
      <c r="C61" t="s">
        <v>12</v>
      </c>
      <c r="D61" s="1">
        <v>45340</v>
      </c>
      <c r="E61" t="s">
        <v>26</v>
      </c>
      <c r="F61" t="s">
        <v>10</v>
      </c>
      <c r="G61" t="s">
        <v>11</v>
      </c>
      <c r="H61">
        <v>395.1</v>
      </c>
      <c r="I61" t="str">
        <f t="shared" si="0"/>
        <v>Feb/2024</v>
      </c>
      <c r="J61">
        <f t="shared" si="1"/>
        <v>28617.409999999996</v>
      </c>
    </row>
    <row r="62" spans="1:10" hidden="1">
      <c r="A62">
        <v>61</v>
      </c>
      <c r="B62">
        <v>60</v>
      </c>
      <c r="C62" t="s">
        <v>8</v>
      </c>
      <c r="D62" s="1">
        <v>45454</v>
      </c>
      <c r="E62" t="s">
        <v>9</v>
      </c>
      <c r="F62" t="s">
        <v>18</v>
      </c>
      <c r="G62" t="s">
        <v>11</v>
      </c>
      <c r="H62">
        <v>675.89</v>
      </c>
      <c r="I62" t="str">
        <f t="shared" si="0"/>
        <v>Jun/2024</v>
      </c>
      <c r="J62">
        <f t="shared" si="1"/>
        <v>29293.299999999996</v>
      </c>
    </row>
    <row r="63" spans="1:10" hidden="1">
      <c r="A63">
        <v>62</v>
      </c>
      <c r="B63">
        <v>43</v>
      </c>
      <c r="C63" t="s">
        <v>19</v>
      </c>
      <c r="D63" s="1">
        <v>45359</v>
      </c>
      <c r="E63" t="s">
        <v>9</v>
      </c>
      <c r="F63" t="s">
        <v>21</v>
      </c>
      <c r="G63" t="s">
        <v>11</v>
      </c>
      <c r="H63">
        <v>523.02</v>
      </c>
      <c r="I63" t="str">
        <f t="shared" si="0"/>
        <v>Mar/2024</v>
      </c>
      <c r="J63">
        <f t="shared" si="1"/>
        <v>29816.319999999996</v>
      </c>
    </row>
    <row r="64" spans="1:10" hidden="1">
      <c r="A64">
        <v>63</v>
      </c>
      <c r="B64">
        <v>52</v>
      </c>
      <c r="C64" t="s">
        <v>8</v>
      </c>
      <c r="D64" s="1">
        <v>45293</v>
      </c>
      <c r="E64" t="s">
        <v>26</v>
      </c>
      <c r="F64" t="s">
        <v>18</v>
      </c>
      <c r="G64" t="s">
        <v>20</v>
      </c>
      <c r="H64">
        <v>337.5</v>
      </c>
      <c r="I64" t="str">
        <f t="shared" si="0"/>
        <v>Jan/2024</v>
      </c>
      <c r="J64">
        <f t="shared" si="1"/>
        <v>30153.819999999996</v>
      </c>
    </row>
    <row r="65" spans="1:10" hidden="1">
      <c r="A65">
        <v>64</v>
      </c>
      <c r="B65">
        <v>2</v>
      </c>
      <c r="C65" t="s">
        <v>19</v>
      </c>
      <c r="D65" s="1">
        <v>45302</v>
      </c>
      <c r="E65" t="s">
        <v>26</v>
      </c>
      <c r="F65" t="s">
        <v>10</v>
      </c>
      <c r="G65" t="s">
        <v>16</v>
      </c>
      <c r="H65">
        <v>830.89</v>
      </c>
      <c r="I65" t="str">
        <f t="shared" si="0"/>
        <v>Jan/2024</v>
      </c>
      <c r="J65">
        <f t="shared" si="1"/>
        <v>30984.709999999995</v>
      </c>
    </row>
    <row r="66" spans="1:10" hidden="1">
      <c r="A66">
        <v>65</v>
      </c>
      <c r="B66">
        <v>22</v>
      </c>
      <c r="C66" t="s">
        <v>12</v>
      </c>
      <c r="D66" s="1">
        <v>45398</v>
      </c>
      <c r="E66" t="s">
        <v>9</v>
      </c>
      <c r="F66" t="s">
        <v>18</v>
      </c>
      <c r="G66" t="s">
        <v>11</v>
      </c>
      <c r="H66">
        <v>84.97</v>
      </c>
      <c r="I66" t="str">
        <f t="shared" si="0"/>
        <v>Apr/2024</v>
      </c>
      <c r="J66">
        <f t="shared" si="1"/>
        <v>31069.679999999997</v>
      </c>
    </row>
    <row r="67" spans="1:10" hidden="1">
      <c r="A67">
        <v>66</v>
      </c>
      <c r="B67">
        <v>31</v>
      </c>
      <c r="C67" t="s">
        <v>12</v>
      </c>
      <c r="D67" s="1">
        <v>45436</v>
      </c>
      <c r="E67" t="s">
        <v>15</v>
      </c>
      <c r="F67" t="s">
        <v>10</v>
      </c>
      <c r="G67" t="s">
        <v>11</v>
      </c>
      <c r="H67">
        <v>771.96</v>
      </c>
      <c r="I67" t="str">
        <f t="shared" ref="I67:I130" si="2">TEXT(D67,"mmm/yyyy")</f>
        <v>May/2024</v>
      </c>
      <c r="J67">
        <f t="shared" si="1"/>
        <v>31841.639999999996</v>
      </c>
    </row>
    <row r="68" spans="1:10" hidden="1">
      <c r="A68">
        <v>67</v>
      </c>
      <c r="B68">
        <v>87</v>
      </c>
      <c r="C68" t="s">
        <v>12</v>
      </c>
      <c r="D68" s="1">
        <v>45366</v>
      </c>
      <c r="E68" t="s">
        <v>15</v>
      </c>
      <c r="F68" t="s">
        <v>10</v>
      </c>
      <c r="G68" t="s">
        <v>16</v>
      </c>
      <c r="H68">
        <v>46.43</v>
      </c>
      <c r="I68" t="str">
        <f t="shared" si="2"/>
        <v>Mar/2024</v>
      </c>
      <c r="J68">
        <f t="shared" ref="J68:J131" si="3">J67+H68</f>
        <v>31888.069999999996</v>
      </c>
    </row>
    <row r="69" spans="1:10" hidden="1">
      <c r="A69">
        <v>68</v>
      </c>
      <c r="B69">
        <v>11</v>
      </c>
      <c r="C69" t="s">
        <v>19</v>
      </c>
      <c r="D69" s="1">
        <v>45398</v>
      </c>
      <c r="E69" t="s">
        <v>15</v>
      </c>
      <c r="F69" t="s">
        <v>10</v>
      </c>
      <c r="G69" t="s">
        <v>16</v>
      </c>
      <c r="H69">
        <v>31.91</v>
      </c>
      <c r="I69" t="str">
        <f t="shared" si="2"/>
        <v>Apr/2024</v>
      </c>
      <c r="J69">
        <f t="shared" si="3"/>
        <v>31919.979999999996</v>
      </c>
    </row>
    <row r="70" spans="1:10" hidden="1">
      <c r="A70">
        <v>69</v>
      </c>
      <c r="B70">
        <v>33</v>
      </c>
      <c r="C70" t="s">
        <v>19</v>
      </c>
      <c r="D70" s="1">
        <v>45431</v>
      </c>
      <c r="E70" t="s">
        <v>9</v>
      </c>
      <c r="F70" t="s">
        <v>21</v>
      </c>
      <c r="G70" t="s">
        <v>16</v>
      </c>
      <c r="H70">
        <v>845.8</v>
      </c>
      <c r="I70" t="str">
        <f t="shared" si="2"/>
        <v>May/2024</v>
      </c>
      <c r="J70">
        <f t="shared" si="3"/>
        <v>32765.779999999995</v>
      </c>
    </row>
    <row r="71" spans="1:10" hidden="1">
      <c r="A71">
        <v>70</v>
      </c>
      <c r="B71">
        <v>17</v>
      </c>
      <c r="C71" t="s">
        <v>12</v>
      </c>
      <c r="D71" s="1">
        <v>45341</v>
      </c>
      <c r="E71" t="s">
        <v>9</v>
      </c>
      <c r="F71" t="s">
        <v>10</v>
      </c>
      <c r="G71" t="s">
        <v>20</v>
      </c>
      <c r="H71">
        <v>729.55</v>
      </c>
      <c r="I71" t="str">
        <f t="shared" si="2"/>
        <v>Feb/2024</v>
      </c>
      <c r="J71">
        <f t="shared" si="3"/>
        <v>33495.329999999994</v>
      </c>
    </row>
    <row r="72" spans="1:10" hidden="1">
      <c r="A72">
        <v>71</v>
      </c>
      <c r="B72">
        <v>71</v>
      </c>
      <c r="C72" t="s">
        <v>19</v>
      </c>
      <c r="D72" s="1">
        <v>45356</v>
      </c>
      <c r="E72" t="s">
        <v>26</v>
      </c>
      <c r="F72" t="s">
        <v>21</v>
      </c>
      <c r="G72" t="s">
        <v>16</v>
      </c>
      <c r="H72">
        <v>187.03</v>
      </c>
      <c r="I72" t="str">
        <f t="shared" si="2"/>
        <v>Mar/2024</v>
      </c>
      <c r="J72">
        <f t="shared" si="3"/>
        <v>33682.359999999993</v>
      </c>
    </row>
    <row r="73" spans="1:10" hidden="1">
      <c r="A73">
        <v>72</v>
      </c>
      <c r="B73">
        <v>35</v>
      </c>
      <c r="C73" t="s">
        <v>8</v>
      </c>
      <c r="D73" s="1">
        <v>45472</v>
      </c>
      <c r="E73" t="s">
        <v>9</v>
      </c>
      <c r="F73" t="s">
        <v>21</v>
      </c>
      <c r="G73" t="s">
        <v>16</v>
      </c>
      <c r="H73">
        <v>470.35</v>
      </c>
      <c r="I73" t="str">
        <f t="shared" si="2"/>
        <v>Jun/2024</v>
      </c>
      <c r="J73">
        <f t="shared" si="3"/>
        <v>34152.709999999992</v>
      </c>
    </row>
    <row r="74" spans="1:10" hidden="1">
      <c r="A74">
        <v>73</v>
      </c>
      <c r="B74">
        <v>15</v>
      </c>
      <c r="C74" t="s">
        <v>12</v>
      </c>
      <c r="D74" s="1">
        <v>45432</v>
      </c>
      <c r="E74" t="s">
        <v>15</v>
      </c>
      <c r="F74" t="s">
        <v>10</v>
      </c>
      <c r="G74" t="s">
        <v>11</v>
      </c>
      <c r="H74">
        <v>662.35</v>
      </c>
      <c r="I74" t="str">
        <f t="shared" si="2"/>
        <v>May/2024</v>
      </c>
      <c r="J74">
        <f t="shared" si="3"/>
        <v>34815.05999999999</v>
      </c>
    </row>
    <row r="75" spans="1:10" hidden="1">
      <c r="A75">
        <v>74</v>
      </c>
      <c r="B75">
        <v>43</v>
      </c>
      <c r="C75" t="s">
        <v>12</v>
      </c>
      <c r="D75" s="1">
        <v>45386</v>
      </c>
      <c r="E75" t="s">
        <v>9</v>
      </c>
      <c r="F75" t="s">
        <v>18</v>
      </c>
      <c r="G75" t="s">
        <v>11</v>
      </c>
      <c r="H75">
        <v>509.97</v>
      </c>
      <c r="I75" t="str">
        <f t="shared" si="2"/>
        <v>Apr/2024</v>
      </c>
      <c r="J75">
        <f t="shared" si="3"/>
        <v>35325.029999999992</v>
      </c>
    </row>
    <row r="76" spans="1:10" hidden="1">
      <c r="A76">
        <v>75</v>
      </c>
      <c r="B76">
        <v>2</v>
      </c>
      <c r="C76" t="s">
        <v>12</v>
      </c>
      <c r="D76" s="1">
        <v>45294</v>
      </c>
      <c r="E76" t="s">
        <v>9</v>
      </c>
      <c r="F76" t="s">
        <v>18</v>
      </c>
      <c r="G76" t="s">
        <v>20</v>
      </c>
      <c r="H76">
        <v>352.33</v>
      </c>
      <c r="I76" t="str">
        <f t="shared" si="2"/>
        <v>Jan/2024</v>
      </c>
      <c r="J76">
        <f t="shared" si="3"/>
        <v>35677.359999999993</v>
      </c>
    </row>
    <row r="77" spans="1:10" hidden="1">
      <c r="A77">
        <v>76</v>
      </c>
      <c r="B77">
        <v>36</v>
      </c>
      <c r="C77" t="s">
        <v>12</v>
      </c>
      <c r="D77" s="1">
        <v>45378</v>
      </c>
      <c r="E77" t="s">
        <v>26</v>
      </c>
      <c r="F77" t="s">
        <v>10</v>
      </c>
      <c r="G77" t="s">
        <v>20</v>
      </c>
      <c r="H77">
        <v>228.22</v>
      </c>
      <c r="I77" t="str">
        <f t="shared" si="2"/>
        <v>Mar/2024</v>
      </c>
      <c r="J77">
        <f t="shared" si="3"/>
        <v>35905.579999999994</v>
      </c>
    </row>
    <row r="78" spans="1:10" hidden="1">
      <c r="A78">
        <v>77</v>
      </c>
      <c r="B78">
        <v>64</v>
      </c>
      <c r="C78" t="s">
        <v>12</v>
      </c>
      <c r="D78" s="1">
        <v>45328</v>
      </c>
      <c r="E78" t="s">
        <v>9</v>
      </c>
      <c r="F78" t="s">
        <v>18</v>
      </c>
      <c r="G78" t="s">
        <v>20</v>
      </c>
      <c r="H78">
        <v>632.45000000000005</v>
      </c>
      <c r="I78" t="str">
        <f t="shared" si="2"/>
        <v>Feb/2024</v>
      </c>
      <c r="J78">
        <f t="shared" si="3"/>
        <v>36538.029999999992</v>
      </c>
    </row>
    <row r="79" spans="1:10" hidden="1">
      <c r="A79">
        <v>78</v>
      </c>
      <c r="B79">
        <v>28</v>
      </c>
      <c r="C79" t="s">
        <v>12</v>
      </c>
      <c r="D79" s="1">
        <v>45463</v>
      </c>
      <c r="E79" t="s">
        <v>9</v>
      </c>
      <c r="F79" t="s">
        <v>18</v>
      </c>
      <c r="G79" t="s">
        <v>16</v>
      </c>
      <c r="H79">
        <v>975.87</v>
      </c>
      <c r="I79" t="str">
        <f t="shared" si="2"/>
        <v>Jun/2024</v>
      </c>
      <c r="J79">
        <f t="shared" si="3"/>
        <v>37513.899999999994</v>
      </c>
    </row>
    <row r="80" spans="1:10" hidden="1">
      <c r="A80">
        <v>79</v>
      </c>
      <c r="B80">
        <v>69</v>
      </c>
      <c r="C80" t="s">
        <v>8</v>
      </c>
      <c r="D80" s="1">
        <v>45374</v>
      </c>
      <c r="E80" t="s">
        <v>15</v>
      </c>
      <c r="F80" t="s">
        <v>21</v>
      </c>
      <c r="G80" t="s">
        <v>11</v>
      </c>
      <c r="H80">
        <v>967.14</v>
      </c>
      <c r="I80" t="str">
        <f t="shared" si="2"/>
        <v>Mar/2024</v>
      </c>
      <c r="J80">
        <f t="shared" si="3"/>
        <v>38481.039999999994</v>
      </c>
    </row>
    <row r="81" spans="1:10" hidden="1">
      <c r="A81">
        <v>80</v>
      </c>
      <c r="B81">
        <v>75</v>
      </c>
      <c r="C81" t="s">
        <v>8</v>
      </c>
      <c r="D81" s="1">
        <v>45302</v>
      </c>
      <c r="E81" t="s">
        <v>26</v>
      </c>
      <c r="F81" t="s">
        <v>21</v>
      </c>
      <c r="G81" t="s">
        <v>16</v>
      </c>
      <c r="H81">
        <v>992.69</v>
      </c>
      <c r="I81" t="str">
        <f t="shared" si="2"/>
        <v>Jan/2024</v>
      </c>
      <c r="J81">
        <f t="shared" si="3"/>
        <v>39473.729999999996</v>
      </c>
    </row>
    <row r="82" spans="1:10" hidden="1">
      <c r="A82">
        <v>81</v>
      </c>
      <c r="B82">
        <v>69</v>
      </c>
      <c r="C82" t="s">
        <v>12</v>
      </c>
      <c r="D82" s="1">
        <v>45365</v>
      </c>
      <c r="E82" t="s">
        <v>26</v>
      </c>
      <c r="F82" t="s">
        <v>10</v>
      </c>
      <c r="G82" t="s">
        <v>20</v>
      </c>
      <c r="H82">
        <v>827.74</v>
      </c>
      <c r="I82" t="str">
        <f t="shared" si="2"/>
        <v>Mar/2024</v>
      </c>
      <c r="J82">
        <f t="shared" si="3"/>
        <v>40301.469999999994</v>
      </c>
    </row>
    <row r="83" spans="1:10" hidden="1">
      <c r="A83">
        <v>82</v>
      </c>
      <c r="B83">
        <v>74</v>
      </c>
      <c r="C83" t="s">
        <v>8</v>
      </c>
      <c r="D83" s="1">
        <v>45384</v>
      </c>
      <c r="E83" t="s">
        <v>9</v>
      </c>
      <c r="F83" t="s">
        <v>18</v>
      </c>
      <c r="G83" t="s">
        <v>16</v>
      </c>
      <c r="H83">
        <v>270.97000000000003</v>
      </c>
      <c r="I83" t="str">
        <f t="shared" si="2"/>
        <v>Apr/2024</v>
      </c>
      <c r="J83">
        <f t="shared" si="3"/>
        <v>40572.439999999995</v>
      </c>
    </row>
    <row r="84" spans="1:10" hidden="1">
      <c r="A84">
        <v>83</v>
      </c>
      <c r="B84">
        <v>69</v>
      </c>
      <c r="C84" t="s">
        <v>8</v>
      </c>
      <c r="D84" s="1">
        <v>45393</v>
      </c>
      <c r="E84" t="s">
        <v>26</v>
      </c>
      <c r="F84" t="s">
        <v>18</v>
      </c>
      <c r="G84" t="s">
        <v>11</v>
      </c>
      <c r="H84">
        <v>712.98</v>
      </c>
      <c r="I84" t="str">
        <f t="shared" si="2"/>
        <v>Apr/2024</v>
      </c>
      <c r="J84">
        <f t="shared" si="3"/>
        <v>41285.42</v>
      </c>
    </row>
    <row r="85" spans="1:10" hidden="1">
      <c r="A85">
        <v>84</v>
      </c>
      <c r="B85">
        <v>11</v>
      </c>
      <c r="C85" t="s">
        <v>8</v>
      </c>
      <c r="D85" s="1">
        <v>45467</v>
      </c>
      <c r="E85" t="s">
        <v>9</v>
      </c>
      <c r="F85" t="s">
        <v>18</v>
      </c>
      <c r="G85" t="s">
        <v>20</v>
      </c>
      <c r="H85">
        <v>556.04999999999995</v>
      </c>
      <c r="I85" t="str">
        <f t="shared" si="2"/>
        <v>Jun/2024</v>
      </c>
      <c r="J85">
        <f t="shared" si="3"/>
        <v>41841.47</v>
      </c>
    </row>
    <row r="86" spans="1:10" hidden="1">
      <c r="A86">
        <v>85</v>
      </c>
      <c r="B86">
        <v>92</v>
      </c>
      <c r="C86" t="s">
        <v>8</v>
      </c>
      <c r="D86" s="1">
        <v>45409</v>
      </c>
      <c r="E86" t="s">
        <v>9</v>
      </c>
      <c r="F86" t="s">
        <v>10</v>
      </c>
      <c r="G86" t="s">
        <v>20</v>
      </c>
      <c r="H86">
        <v>200.11</v>
      </c>
      <c r="I86" t="str">
        <f t="shared" si="2"/>
        <v>Apr/2024</v>
      </c>
      <c r="J86">
        <f t="shared" si="3"/>
        <v>42041.58</v>
      </c>
    </row>
    <row r="87" spans="1:10" hidden="1">
      <c r="A87">
        <v>86</v>
      </c>
      <c r="B87">
        <v>70</v>
      </c>
      <c r="C87" t="s">
        <v>8</v>
      </c>
      <c r="D87" s="1">
        <v>45305</v>
      </c>
      <c r="E87" t="s">
        <v>9</v>
      </c>
      <c r="F87" t="s">
        <v>21</v>
      </c>
      <c r="G87" t="s">
        <v>16</v>
      </c>
      <c r="H87">
        <v>660.05</v>
      </c>
      <c r="I87" t="str">
        <f t="shared" si="2"/>
        <v>Jan/2024</v>
      </c>
      <c r="J87">
        <f t="shared" si="3"/>
        <v>42701.630000000005</v>
      </c>
    </row>
    <row r="88" spans="1:10" hidden="1">
      <c r="A88">
        <v>87</v>
      </c>
      <c r="B88">
        <v>22</v>
      </c>
      <c r="C88" t="s">
        <v>8</v>
      </c>
      <c r="D88" s="1">
        <v>45312</v>
      </c>
      <c r="E88" t="s">
        <v>9</v>
      </c>
      <c r="F88" t="s">
        <v>21</v>
      </c>
      <c r="G88" t="s">
        <v>20</v>
      </c>
      <c r="H88">
        <v>220.96</v>
      </c>
      <c r="I88" t="str">
        <f t="shared" si="2"/>
        <v>Jan/2024</v>
      </c>
      <c r="J88">
        <f t="shared" si="3"/>
        <v>42922.590000000004</v>
      </c>
    </row>
    <row r="89" spans="1:10" hidden="1">
      <c r="A89">
        <v>88</v>
      </c>
      <c r="B89">
        <v>9</v>
      </c>
      <c r="C89" t="s">
        <v>12</v>
      </c>
      <c r="D89" s="1">
        <v>45331</v>
      </c>
      <c r="E89" t="s">
        <v>9</v>
      </c>
      <c r="F89" t="s">
        <v>18</v>
      </c>
      <c r="G89" t="s">
        <v>11</v>
      </c>
      <c r="H89">
        <v>776.54</v>
      </c>
      <c r="I89" t="str">
        <f t="shared" si="2"/>
        <v>Feb/2024</v>
      </c>
      <c r="J89">
        <f t="shared" si="3"/>
        <v>43699.130000000005</v>
      </c>
    </row>
    <row r="90" spans="1:10" hidden="1">
      <c r="A90">
        <v>89</v>
      </c>
      <c r="B90">
        <v>6</v>
      </c>
      <c r="C90" t="s">
        <v>12</v>
      </c>
      <c r="D90" s="1">
        <v>45413</v>
      </c>
      <c r="E90" t="s">
        <v>26</v>
      </c>
      <c r="F90" t="s">
        <v>21</v>
      </c>
      <c r="G90" t="s">
        <v>11</v>
      </c>
      <c r="H90">
        <v>920.26</v>
      </c>
      <c r="I90" t="str">
        <f t="shared" si="2"/>
        <v>May/2024</v>
      </c>
      <c r="J90">
        <f t="shared" si="3"/>
        <v>44619.390000000007</v>
      </c>
    </row>
    <row r="91" spans="1:10" hidden="1">
      <c r="A91">
        <v>90</v>
      </c>
      <c r="B91">
        <v>58</v>
      </c>
      <c r="C91" t="s">
        <v>8</v>
      </c>
      <c r="D91" s="1">
        <v>45339</v>
      </c>
      <c r="E91" t="s">
        <v>15</v>
      </c>
      <c r="F91" t="s">
        <v>21</v>
      </c>
      <c r="G91" t="s">
        <v>11</v>
      </c>
      <c r="H91">
        <v>492.22</v>
      </c>
      <c r="I91" t="str">
        <f t="shared" si="2"/>
        <v>Feb/2024</v>
      </c>
      <c r="J91">
        <f t="shared" si="3"/>
        <v>45111.610000000008</v>
      </c>
    </row>
    <row r="92" spans="1:10" hidden="1">
      <c r="A92">
        <v>91</v>
      </c>
      <c r="B92">
        <v>98</v>
      </c>
      <c r="C92" t="s">
        <v>19</v>
      </c>
      <c r="D92" s="1">
        <v>45358</v>
      </c>
      <c r="E92" t="s">
        <v>26</v>
      </c>
      <c r="F92" t="s">
        <v>18</v>
      </c>
      <c r="G92" t="s">
        <v>20</v>
      </c>
      <c r="H92">
        <v>513.45000000000005</v>
      </c>
      <c r="I92" t="str">
        <f t="shared" si="2"/>
        <v>Mar/2024</v>
      </c>
      <c r="J92">
        <f t="shared" si="3"/>
        <v>45625.060000000005</v>
      </c>
    </row>
    <row r="93" spans="1:10" hidden="1">
      <c r="A93">
        <v>92</v>
      </c>
      <c r="B93">
        <v>93</v>
      </c>
      <c r="C93" t="s">
        <v>12</v>
      </c>
      <c r="D93" s="1">
        <v>45473</v>
      </c>
      <c r="E93" t="s">
        <v>9</v>
      </c>
      <c r="F93" t="s">
        <v>21</v>
      </c>
      <c r="G93" t="s">
        <v>16</v>
      </c>
      <c r="H93">
        <v>286.27999999999997</v>
      </c>
      <c r="I93" t="str">
        <f t="shared" si="2"/>
        <v>Jun/2024</v>
      </c>
      <c r="J93">
        <f t="shared" si="3"/>
        <v>45911.340000000004</v>
      </c>
    </row>
    <row r="94" spans="1:10" hidden="1">
      <c r="A94">
        <v>93</v>
      </c>
      <c r="B94">
        <v>10</v>
      </c>
      <c r="C94" t="s">
        <v>12</v>
      </c>
      <c r="D94" s="1">
        <v>45383</v>
      </c>
      <c r="E94" t="s">
        <v>26</v>
      </c>
      <c r="F94" t="s">
        <v>10</v>
      </c>
      <c r="G94" t="s">
        <v>16</v>
      </c>
      <c r="H94">
        <v>698.89</v>
      </c>
      <c r="I94" t="str">
        <f t="shared" si="2"/>
        <v>Apr/2024</v>
      </c>
      <c r="J94">
        <f t="shared" si="3"/>
        <v>46610.23</v>
      </c>
    </row>
    <row r="95" spans="1:10" hidden="1">
      <c r="A95">
        <v>94</v>
      </c>
      <c r="B95">
        <v>72</v>
      </c>
      <c r="C95" t="s">
        <v>19</v>
      </c>
      <c r="D95" s="1">
        <v>45324</v>
      </c>
      <c r="E95" t="s">
        <v>15</v>
      </c>
      <c r="F95" t="s">
        <v>18</v>
      </c>
      <c r="G95" t="s">
        <v>11</v>
      </c>
      <c r="H95">
        <v>555.25</v>
      </c>
      <c r="I95" t="str">
        <f t="shared" si="2"/>
        <v>Feb/2024</v>
      </c>
      <c r="J95">
        <f t="shared" si="3"/>
        <v>47165.48</v>
      </c>
    </row>
    <row r="96" spans="1:10" hidden="1">
      <c r="A96">
        <v>95</v>
      </c>
      <c r="B96">
        <v>36</v>
      </c>
      <c r="C96" t="s">
        <v>19</v>
      </c>
      <c r="D96" s="1">
        <v>45428</v>
      </c>
      <c r="E96" t="s">
        <v>9</v>
      </c>
      <c r="F96" t="s">
        <v>21</v>
      </c>
      <c r="G96" t="s">
        <v>20</v>
      </c>
      <c r="H96">
        <v>465.92</v>
      </c>
      <c r="I96" t="str">
        <f t="shared" si="2"/>
        <v>May/2024</v>
      </c>
      <c r="J96">
        <f t="shared" si="3"/>
        <v>47631.4</v>
      </c>
    </row>
    <row r="97" spans="1:10" hidden="1">
      <c r="A97">
        <v>96</v>
      </c>
      <c r="B97">
        <v>11</v>
      </c>
      <c r="C97" t="s">
        <v>8</v>
      </c>
      <c r="D97" s="1">
        <v>45359</v>
      </c>
      <c r="E97" t="s">
        <v>9</v>
      </c>
      <c r="F97" t="s">
        <v>18</v>
      </c>
      <c r="G97" t="s">
        <v>20</v>
      </c>
      <c r="H97">
        <v>732.13</v>
      </c>
      <c r="I97" t="str">
        <f t="shared" si="2"/>
        <v>Mar/2024</v>
      </c>
      <c r="J97">
        <f t="shared" si="3"/>
        <v>48363.53</v>
      </c>
    </row>
    <row r="98" spans="1:10" hidden="1">
      <c r="A98">
        <v>97</v>
      </c>
      <c r="B98">
        <v>56</v>
      </c>
      <c r="C98" t="s">
        <v>8</v>
      </c>
      <c r="D98" s="1">
        <v>45366</v>
      </c>
      <c r="E98" t="s">
        <v>9</v>
      </c>
      <c r="F98" t="s">
        <v>21</v>
      </c>
      <c r="G98" t="s">
        <v>16</v>
      </c>
      <c r="H98">
        <v>582.46</v>
      </c>
      <c r="I98" t="str">
        <f t="shared" si="2"/>
        <v>Mar/2024</v>
      </c>
      <c r="J98">
        <f t="shared" si="3"/>
        <v>48945.99</v>
      </c>
    </row>
    <row r="99" spans="1:10" hidden="1">
      <c r="A99">
        <v>98</v>
      </c>
      <c r="B99">
        <v>67</v>
      </c>
      <c r="C99" t="s">
        <v>19</v>
      </c>
      <c r="D99" s="1">
        <v>45361</v>
      </c>
      <c r="E99" t="s">
        <v>9</v>
      </c>
      <c r="F99" t="s">
        <v>21</v>
      </c>
      <c r="G99" t="s">
        <v>11</v>
      </c>
      <c r="H99">
        <v>647.70000000000005</v>
      </c>
      <c r="I99" t="str">
        <f t="shared" si="2"/>
        <v>Mar/2024</v>
      </c>
      <c r="J99">
        <f t="shared" si="3"/>
        <v>49593.689999999995</v>
      </c>
    </row>
    <row r="100" spans="1:10" hidden="1">
      <c r="A100">
        <v>99</v>
      </c>
      <c r="B100">
        <v>67</v>
      </c>
      <c r="C100" t="s">
        <v>8</v>
      </c>
      <c r="D100" s="1">
        <v>45390</v>
      </c>
      <c r="E100" t="s">
        <v>9</v>
      </c>
      <c r="F100" t="s">
        <v>18</v>
      </c>
      <c r="G100" t="s">
        <v>11</v>
      </c>
      <c r="H100">
        <v>536.57000000000005</v>
      </c>
      <c r="I100" t="str">
        <f t="shared" si="2"/>
        <v>Apr/2024</v>
      </c>
      <c r="J100">
        <f t="shared" si="3"/>
        <v>50130.259999999995</v>
      </c>
    </row>
    <row r="101" spans="1:10" hidden="1">
      <c r="A101">
        <v>100</v>
      </c>
      <c r="B101">
        <v>8</v>
      </c>
      <c r="C101" t="s">
        <v>12</v>
      </c>
      <c r="D101" s="1">
        <v>45406</v>
      </c>
      <c r="E101" t="s">
        <v>26</v>
      </c>
      <c r="F101" t="s">
        <v>10</v>
      </c>
      <c r="G101" t="s">
        <v>11</v>
      </c>
      <c r="H101">
        <v>673.85</v>
      </c>
      <c r="I101" t="str">
        <f t="shared" si="2"/>
        <v>Apr/2024</v>
      </c>
      <c r="J101">
        <f t="shared" si="3"/>
        <v>50804.109999999993</v>
      </c>
    </row>
    <row r="102" spans="1:10" hidden="1">
      <c r="A102">
        <v>101</v>
      </c>
      <c r="B102">
        <v>27</v>
      </c>
      <c r="C102" t="s">
        <v>8</v>
      </c>
      <c r="D102" s="1">
        <v>45316</v>
      </c>
      <c r="E102" t="s">
        <v>15</v>
      </c>
      <c r="F102" t="s">
        <v>10</v>
      </c>
      <c r="G102" t="s">
        <v>20</v>
      </c>
      <c r="H102">
        <v>871.1</v>
      </c>
      <c r="I102" t="str">
        <f t="shared" si="2"/>
        <v>Jan/2024</v>
      </c>
      <c r="J102">
        <f t="shared" si="3"/>
        <v>51675.209999999992</v>
      </c>
    </row>
    <row r="103" spans="1:10" hidden="1">
      <c r="A103">
        <v>102</v>
      </c>
      <c r="B103">
        <v>79</v>
      </c>
      <c r="C103" t="s">
        <v>8</v>
      </c>
      <c r="D103" s="1">
        <v>45468</v>
      </c>
      <c r="E103" t="s">
        <v>15</v>
      </c>
      <c r="F103" t="s">
        <v>18</v>
      </c>
      <c r="G103" t="s">
        <v>11</v>
      </c>
      <c r="H103">
        <v>973.66</v>
      </c>
      <c r="I103" t="str">
        <f t="shared" si="2"/>
        <v>Jun/2024</v>
      </c>
      <c r="J103">
        <f t="shared" si="3"/>
        <v>52648.869999999995</v>
      </c>
    </row>
    <row r="104" spans="1:10" hidden="1">
      <c r="A104">
        <v>103</v>
      </c>
      <c r="B104">
        <v>87</v>
      </c>
      <c r="C104" t="s">
        <v>12</v>
      </c>
      <c r="D104" s="1">
        <v>45443</v>
      </c>
      <c r="E104" t="s">
        <v>15</v>
      </c>
      <c r="F104" t="s">
        <v>18</v>
      </c>
      <c r="G104" t="s">
        <v>11</v>
      </c>
      <c r="H104">
        <v>787.42</v>
      </c>
      <c r="I104" t="str">
        <f t="shared" si="2"/>
        <v>May/2024</v>
      </c>
      <c r="J104">
        <f t="shared" si="3"/>
        <v>53436.289999999994</v>
      </c>
    </row>
    <row r="105" spans="1:10" hidden="1">
      <c r="A105">
        <v>104</v>
      </c>
      <c r="B105">
        <v>1</v>
      </c>
      <c r="C105" t="s">
        <v>8</v>
      </c>
      <c r="D105" s="1">
        <v>45468</v>
      </c>
      <c r="E105" t="s">
        <v>26</v>
      </c>
      <c r="F105" t="s">
        <v>10</v>
      </c>
      <c r="G105" t="s">
        <v>20</v>
      </c>
      <c r="H105">
        <v>338.48</v>
      </c>
      <c r="I105" t="str">
        <f t="shared" si="2"/>
        <v>Jun/2024</v>
      </c>
      <c r="J105">
        <f t="shared" si="3"/>
        <v>53774.77</v>
      </c>
    </row>
    <row r="106" spans="1:10" hidden="1">
      <c r="A106">
        <v>105</v>
      </c>
      <c r="B106">
        <v>49</v>
      </c>
      <c r="C106" t="s">
        <v>8</v>
      </c>
      <c r="D106" s="1">
        <v>45412</v>
      </c>
      <c r="E106" t="s">
        <v>9</v>
      </c>
      <c r="F106" t="s">
        <v>18</v>
      </c>
      <c r="G106" t="s">
        <v>11</v>
      </c>
      <c r="H106">
        <v>922.07</v>
      </c>
      <c r="I106" t="str">
        <f t="shared" si="2"/>
        <v>Apr/2024</v>
      </c>
      <c r="J106">
        <f t="shared" si="3"/>
        <v>54696.84</v>
      </c>
    </row>
    <row r="107" spans="1:10" hidden="1">
      <c r="A107">
        <v>106</v>
      </c>
      <c r="B107">
        <v>9</v>
      </c>
      <c r="C107" t="s">
        <v>12</v>
      </c>
      <c r="D107" s="1">
        <v>45426</v>
      </c>
      <c r="E107" t="s">
        <v>26</v>
      </c>
      <c r="F107" t="s">
        <v>21</v>
      </c>
      <c r="G107" t="s">
        <v>20</v>
      </c>
      <c r="H107">
        <v>137.41</v>
      </c>
      <c r="I107" t="str">
        <f t="shared" si="2"/>
        <v>May/2024</v>
      </c>
      <c r="J107">
        <f t="shared" si="3"/>
        <v>54834.25</v>
      </c>
    </row>
    <row r="108" spans="1:10" hidden="1">
      <c r="A108">
        <v>107</v>
      </c>
      <c r="B108">
        <v>63</v>
      </c>
      <c r="C108" t="s">
        <v>8</v>
      </c>
      <c r="D108" s="1">
        <v>45471</v>
      </c>
      <c r="E108" t="s">
        <v>26</v>
      </c>
      <c r="F108" t="s">
        <v>18</v>
      </c>
      <c r="G108" t="s">
        <v>16</v>
      </c>
      <c r="H108">
        <v>17.89</v>
      </c>
      <c r="I108" t="str">
        <f t="shared" si="2"/>
        <v>Jun/2024</v>
      </c>
      <c r="J108">
        <f t="shared" si="3"/>
        <v>54852.14</v>
      </c>
    </row>
    <row r="109" spans="1:10" hidden="1">
      <c r="A109">
        <v>108</v>
      </c>
      <c r="B109">
        <v>97</v>
      </c>
      <c r="C109" t="s">
        <v>19</v>
      </c>
      <c r="D109" s="1">
        <v>45317</v>
      </c>
      <c r="E109" t="s">
        <v>26</v>
      </c>
      <c r="F109" t="s">
        <v>21</v>
      </c>
      <c r="G109" t="s">
        <v>20</v>
      </c>
      <c r="H109">
        <v>210.3</v>
      </c>
      <c r="I109" t="str">
        <f t="shared" si="2"/>
        <v>Jan/2024</v>
      </c>
      <c r="J109">
        <f t="shared" si="3"/>
        <v>55062.44</v>
      </c>
    </row>
    <row r="110" spans="1:10" hidden="1">
      <c r="A110">
        <v>109</v>
      </c>
      <c r="B110">
        <v>1</v>
      </c>
      <c r="C110" t="s">
        <v>19</v>
      </c>
      <c r="D110" s="1">
        <v>45344</v>
      </c>
      <c r="E110" t="s">
        <v>9</v>
      </c>
      <c r="F110" t="s">
        <v>18</v>
      </c>
      <c r="G110" t="s">
        <v>16</v>
      </c>
      <c r="H110">
        <v>978.5</v>
      </c>
      <c r="I110" t="str">
        <f t="shared" si="2"/>
        <v>Feb/2024</v>
      </c>
      <c r="J110">
        <f t="shared" si="3"/>
        <v>56040.94</v>
      </c>
    </row>
    <row r="111" spans="1:10" hidden="1">
      <c r="A111">
        <v>110</v>
      </c>
      <c r="B111">
        <v>44</v>
      </c>
      <c r="C111" t="s">
        <v>12</v>
      </c>
      <c r="D111" s="1">
        <v>45356</v>
      </c>
      <c r="E111" t="s">
        <v>26</v>
      </c>
      <c r="F111" t="s">
        <v>10</v>
      </c>
      <c r="G111" t="s">
        <v>11</v>
      </c>
      <c r="H111">
        <v>381.15</v>
      </c>
      <c r="I111" t="str">
        <f t="shared" si="2"/>
        <v>Mar/2024</v>
      </c>
      <c r="J111">
        <f t="shared" si="3"/>
        <v>56422.090000000004</v>
      </c>
    </row>
    <row r="112" spans="1:10" hidden="1">
      <c r="A112">
        <v>111</v>
      </c>
      <c r="B112">
        <v>27</v>
      </c>
      <c r="C112" t="s">
        <v>8</v>
      </c>
      <c r="D112" s="1">
        <v>45418</v>
      </c>
      <c r="E112" t="s">
        <v>9</v>
      </c>
      <c r="F112" t="s">
        <v>21</v>
      </c>
      <c r="G112" t="s">
        <v>20</v>
      </c>
      <c r="H112">
        <v>302.42</v>
      </c>
      <c r="I112" t="str">
        <f t="shared" si="2"/>
        <v>May/2024</v>
      </c>
      <c r="J112">
        <f t="shared" si="3"/>
        <v>56724.51</v>
      </c>
    </row>
    <row r="113" spans="1:10" hidden="1">
      <c r="A113">
        <v>112</v>
      </c>
      <c r="B113">
        <v>9</v>
      </c>
      <c r="C113" t="s">
        <v>19</v>
      </c>
      <c r="D113" s="1">
        <v>45303</v>
      </c>
      <c r="E113" t="s">
        <v>9</v>
      </c>
      <c r="F113" t="s">
        <v>10</v>
      </c>
      <c r="G113" t="s">
        <v>16</v>
      </c>
      <c r="H113">
        <v>813.46</v>
      </c>
      <c r="I113" t="str">
        <f t="shared" si="2"/>
        <v>Jan/2024</v>
      </c>
      <c r="J113">
        <f t="shared" si="3"/>
        <v>57537.97</v>
      </c>
    </row>
    <row r="114" spans="1:10" hidden="1">
      <c r="A114">
        <v>113</v>
      </c>
      <c r="B114">
        <v>67</v>
      </c>
      <c r="C114" t="s">
        <v>19</v>
      </c>
      <c r="D114" s="1">
        <v>45390</v>
      </c>
      <c r="E114" t="s">
        <v>26</v>
      </c>
      <c r="F114" t="s">
        <v>10</v>
      </c>
      <c r="G114" t="s">
        <v>16</v>
      </c>
      <c r="H114">
        <v>998.27</v>
      </c>
      <c r="I114" t="str">
        <f t="shared" si="2"/>
        <v>Apr/2024</v>
      </c>
      <c r="J114">
        <f t="shared" si="3"/>
        <v>58536.24</v>
      </c>
    </row>
    <row r="115" spans="1:10" hidden="1">
      <c r="A115">
        <v>114</v>
      </c>
      <c r="B115">
        <v>83</v>
      </c>
      <c r="C115" t="s">
        <v>12</v>
      </c>
      <c r="D115" s="1">
        <v>45316</v>
      </c>
      <c r="E115" t="s">
        <v>9</v>
      </c>
      <c r="F115" t="s">
        <v>18</v>
      </c>
      <c r="G115" t="s">
        <v>20</v>
      </c>
      <c r="H115">
        <v>498.47</v>
      </c>
      <c r="I115" t="str">
        <f t="shared" si="2"/>
        <v>Jan/2024</v>
      </c>
      <c r="J115">
        <f t="shared" si="3"/>
        <v>59034.71</v>
      </c>
    </row>
    <row r="116" spans="1:10" hidden="1">
      <c r="A116">
        <v>115</v>
      </c>
      <c r="B116">
        <v>66</v>
      </c>
      <c r="C116" t="s">
        <v>12</v>
      </c>
      <c r="D116" s="1">
        <v>45412</v>
      </c>
      <c r="E116" t="s">
        <v>15</v>
      </c>
      <c r="F116" t="s">
        <v>21</v>
      </c>
      <c r="G116" t="s">
        <v>11</v>
      </c>
      <c r="H116">
        <v>362.23</v>
      </c>
      <c r="I116" t="str">
        <f t="shared" si="2"/>
        <v>Apr/2024</v>
      </c>
      <c r="J116">
        <f t="shared" si="3"/>
        <v>59396.94</v>
      </c>
    </row>
    <row r="117" spans="1:10" hidden="1">
      <c r="A117">
        <v>116</v>
      </c>
      <c r="B117">
        <v>36</v>
      </c>
      <c r="C117" t="s">
        <v>19</v>
      </c>
      <c r="D117" s="1">
        <v>45300</v>
      </c>
      <c r="E117" t="s">
        <v>15</v>
      </c>
      <c r="F117" t="s">
        <v>18</v>
      </c>
      <c r="G117" t="s">
        <v>11</v>
      </c>
      <c r="H117">
        <v>194.79</v>
      </c>
      <c r="I117" t="str">
        <f t="shared" si="2"/>
        <v>Jan/2024</v>
      </c>
      <c r="J117">
        <f t="shared" si="3"/>
        <v>59591.73</v>
      </c>
    </row>
    <row r="118" spans="1:10" hidden="1">
      <c r="A118">
        <v>117</v>
      </c>
      <c r="B118">
        <v>64</v>
      </c>
      <c r="C118" t="s">
        <v>19</v>
      </c>
      <c r="D118" s="1">
        <v>45302</v>
      </c>
      <c r="E118" t="s">
        <v>26</v>
      </c>
      <c r="F118" t="s">
        <v>21</v>
      </c>
      <c r="G118" t="s">
        <v>11</v>
      </c>
      <c r="H118">
        <v>677.65</v>
      </c>
      <c r="I118" t="str">
        <f t="shared" si="2"/>
        <v>Jan/2024</v>
      </c>
      <c r="J118">
        <f t="shared" si="3"/>
        <v>60269.380000000005</v>
      </c>
    </row>
    <row r="119" spans="1:10" hidden="1">
      <c r="A119">
        <v>118</v>
      </c>
      <c r="B119">
        <v>66</v>
      </c>
      <c r="C119" t="s">
        <v>8</v>
      </c>
      <c r="D119" s="1">
        <v>45392</v>
      </c>
      <c r="E119" t="s">
        <v>26</v>
      </c>
      <c r="F119" t="s">
        <v>18</v>
      </c>
      <c r="G119" t="s">
        <v>20</v>
      </c>
      <c r="H119">
        <v>310.8</v>
      </c>
      <c r="I119" t="str">
        <f t="shared" si="2"/>
        <v>Apr/2024</v>
      </c>
      <c r="J119">
        <f t="shared" si="3"/>
        <v>60580.180000000008</v>
      </c>
    </row>
    <row r="120" spans="1:10" hidden="1">
      <c r="A120">
        <v>119</v>
      </c>
      <c r="B120">
        <v>99</v>
      </c>
      <c r="C120" t="s">
        <v>8</v>
      </c>
      <c r="D120" s="1">
        <v>45356</v>
      </c>
      <c r="E120" t="s">
        <v>26</v>
      </c>
      <c r="F120" t="s">
        <v>10</v>
      </c>
      <c r="G120" t="s">
        <v>11</v>
      </c>
      <c r="H120">
        <v>717.21</v>
      </c>
      <c r="I120" t="str">
        <f t="shared" si="2"/>
        <v>Mar/2024</v>
      </c>
      <c r="J120">
        <f t="shared" si="3"/>
        <v>61297.390000000007</v>
      </c>
    </row>
    <row r="121" spans="1:10" hidden="1">
      <c r="A121">
        <v>120</v>
      </c>
      <c r="B121">
        <v>80</v>
      </c>
      <c r="C121" t="s">
        <v>12</v>
      </c>
      <c r="D121" s="1">
        <v>45359</v>
      </c>
      <c r="E121" t="s">
        <v>9</v>
      </c>
      <c r="F121" t="s">
        <v>18</v>
      </c>
      <c r="G121" t="s">
        <v>20</v>
      </c>
      <c r="H121">
        <v>641.58000000000004</v>
      </c>
      <c r="I121" t="str">
        <f t="shared" si="2"/>
        <v>Mar/2024</v>
      </c>
      <c r="J121">
        <f t="shared" si="3"/>
        <v>61938.970000000008</v>
      </c>
    </row>
    <row r="122" spans="1:10" hidden="1">
      <c r="A122">
        <v>121</v>
      </c>
      <c r="B122">
        <v>86</v>
      </c>
      <c r="C122" t="s">
        <v>8</v>
      </c>
      <c r="D122" s="1">
        <v>45452</v>
      </c>
      <c r="E122" t="s">
        <v>15</v>
      </c>
      <c r="F122" t="s">
        <v>10</v>
      </c>
      <c r="G122" t="s">
        <v>20</v>
      </c>
      <c r="H122">
        <v>520.84</v>
      </c>
      <c r="I122" t="str">
        <f t="shared" si="2"/>
        <v>Jun/2024</v>
      </c>
      <c r="J122">
        <f t="shared" si="3"/>
        <v>62459.810000000005</v>
      </c>
    </row>
    <row r="123" spans="1:10" hidden="1">
      <c r="A123">
        <v>122</v>
      </c>
      <c r="B123">
        <v>51</v>
      </c>
      <c r="C123" t="s">
        <v>8</v>
      </c>
      <c r="D123" s="1">
        <v>45398</v>
      </c>
      <c r="E123" t="s">
        <v>26</v>
      </c>
      <c r="F123" t="s">
        <v>18</v>
      </c>
      <c r="G123" t="s">
        <v>20</v>
      </c>
      <c r="H123">
        <v>271.18</v>
      </c>
      <c r="I123" t="str">
        <f t="shared" si="2"/>
        <v>Apr/2024</v>
      </c>
      <c r="J123">
        <f t="shared" si="3"/>
        <v>62730.990000000005</v>
      </c>
    </row>
    <row r="124" spans="1:10" hidden="1">
      <c r="A124">
        <v>123</v>
      </c>
      <c r="B124">
        <v>79</v>
      </c>
      <c r="C124" t="s">
        <v>19</v>
      </c>
      <c r="D124" s="1">
        <v>45326</v>
      </c>
      <c r="E124" t="s">
        <v>15</v>
      </c>
      <c r="F124" t="s">
        <v>10</v>
      </c>
      <c r="G124" t="s">
        <v>20</v>
      </c>
      <c r="H124">
        <v>657.81</v>
      </c>
      <c r="I124" t="str">
        <f t="shared" si="2"/>
        <v>Feb/2024</v>
      </c>
      <c r="J124">
        <f t="shared" si="3"/>
        <v>63388.800000000003</v>
      </c>
    </row>
    <row r="125" spans="1:10" hidden="1">
      <c r="A125">
        <v>124</v>
      </c>
      <c r="B125">
        <v>100</v>
      </c>
      <c r="C125" t="s">
        <v>12</v>
      </c>
      <c r="D125" s="1">
        <v>45378</v>
      </c>
      <c r="E125" t="s">
        <v>15</v>
      </c>
      <c r="F125" t="s">
        <v>21</v>
      </c>
      <c r="G125" t="s">
        <v>20</v>
      </c>
      <c r="H125">
        <v>620.66</v>
      </c>
      <c r="I125" t="str">
        <f t="shared" si="2"/>
        <v>Mar/2024</v>
      </c>
      <c r="J125">
        <f t="shared" si="3"/>
        <v>64009.460000000006</v>
      </c>
    </row>
    <row r="126" spans="1:10" hidden="1">
      <c r="A126">
        <v>125</v>
      </c>
      <c r="B126">
        <v>86</v>
      </c>
      <c r="C126" t="s">
        <v>19</v>
      </c>
      <c r="D126" s="1">
        <v>45361</v>
      </c>
      <c r="E126" t="s">
        <v>26</v>
      </c>
      <c r="F126" t="s">
        <v>18</v>
      </c>
      <c r="G126" t="s">
        <v>11</v>
      </c>
      <c r="H126">
        <v>533.03</v>
      </c>
      <c r="I126" t="str">
        <f t="shared" si="2"/>
        <v>Mar/2024</v>
      </c>
      <c r="J126">
        <f t="shared" si="3"/>
        <v>64542.490000000005</v>
      </c>
    </row>
    <row r="127" spans="1:10" hidden="1">
      <c r="A127">
        <v>126</v>
      </c>
      <c r="B127">
        <v>29</v>
      </c>
      <c r="C127" t="s">
        <v>8</v>
      </c>
      <c r="D127" s="1">
        <v>45323</v>
      </c>
      <c r="E127" t="s">
        <v>26</v>
      </c>
      <c r="F127" t="s">
        <v>10</v>
      </c>
      <c r="G127" t="s">
        <v>11</v>
      </c>
      <c r="H127">
        <v>21.77</v>
      </c>
      <c r="I127" t="str">
        <f t="shared" si="2"/>
        <v>Feb/2024</v>
      </c>
      <c r="J127">
        <f t="shared" si="3"/>
        <v>64564.26</v>
      </c>
    </row>
    <row r="128" spans="1:10" hidden="1">
      <c r="A128">
        <v>127</v>
      </c>
      <c r="B128">
        <v>68</v>
      </c>
      <c r="C128" t="s">
        <v>19</v>
      </c>
      <c r="D128" s="1">
        <v>45431</v>
      </c>
      <c r="E128" t="s">
        <v>26</v>
      </c>
      <c r="F128" t="s">
        <v>10</v>
      </c>
      <c r="G128" t="s">
        <v>20</v>
      </c>
      <c r="H128">
        <v>302.22000000000003</v>
      </c>
      <c r="I128" t="str">
        <f t="shared" si="2"/>
        <v>May/2024</v>
      </c>
      <c r="J128">
        <f t="shared" si="3"/>
        <v>64866.48</v>
      </c>
    </row>
    <row r="129" spans="1:10" hidden="1">
      <c r="A129">
        <v>128</v>
      </c>
      <c r="B129">
        <v>92</v>
      </c>
      <c r="C129" t="s">
        <v>19</v>
      </c>
      <c r="D129" s="1">
        <v>45353</v>
      </c>
      <c r="E129" t="s">
        <v>15</v>
      </c>
      <c r="F129" t="s">
        <v>21</v>
      </c>
      <c r="G129" t="s">
        <v>16</v>
      </c>
      <c r="H129">
        <v>895.38</v>
      </c>
      <c r="I129" t="str">
        <f t="shared" si="2"/>
        <v>Mar/2024</v>
      </c>
      <c r="J129">
        <f t="shared" si="3"/>
        <v>65761.86</v>
      </c>
    </row>
    <row r="130" spans="1:10" hidden="1">
      <c r="A130">
        <v>129</v>
      </c>
      <c r="B130">
        <v>14</v>
      </c>
      <c r="C130" t="s">
        <v>19</v>
      </c>
      <c r="D130" s="1">
        <v>45463</v>
      </c>
      <c r="E130" t="s">
        <v>26</v>
      </c>
      <c r="F130" t="s">
        <v>18</v>
      </c>
      <c r="G130" t="s">
        <v>11</v>
      </c>
      <c r="H130">
        <v>241.61</v>
      </c>
      <c r="I130" t="str">
        <f t="shared" si="2"/>
        <v>Jun/2024</v>
      </c>
      <c r="J130">
        <f t="shared" si="3"/>
        <v>66003.47</v>
      </c>
    </row>
    <row r="131" spans="1:10" hidden="1">
      <c r="A131">
        <v>130</v>
      </c>
      <c r="B131">
        <v>72</v>
      </c>
      <c r="C131" t="s">
        <v>19</v>
      </c>
      <c r="D131" s="1">
        <v>45388</v>
      </c>
      <c r="E131" t="s">
        <v>15</v>
      </c>
      <c r="F131" t="s">
        <v>18</v>
      </c>
      <c r="G131" t="s">
        <v>16</v>
      </c>
      <c r="H131">
        <v>878.46</v>
      </c>
      <c r="I131" t="str">
        <f t="shared" ref="I131:I194" si="4">TEXT(D131,"mmm/yyyy")</f>
        <v>Apr/2024</v>
      </c>
      <c r="J131">
        <f t="shared" si="3"/>
        <v>66881.930000000008</v>
      </c>
    </row>
    <row r="132" spans="1:10" hidden="1">
      <c r="A132">
        <v>131</v>
      </c>
      <c r="B132">
        <v>61</v>
      </c>
      <c r="C132" t="s">
        <v>12</v>
      </c>
      <c r="D132" s="1">
        <v>45427</v>
      </c>
      <c r="E132" t="s">
        <v>15</v>
      </c>
      <c r="F132" t="s">
        <v>18</v>
      </c>
      <c r="G132" t="s">
        <v>11</v>
      </c>
      <c r="H132">
        <v>268.08</v>
      </c>
      <c r="I132" t="str">
        <f t="shared" si="4"/>
        <v>May/2024</v>
      </c>
      <c r="J132">
        <f t="shared" ref="J132:J195" si="5">J131+H132</f>
        <v>67150.010000000009</v>
      </c>
    </row>
    <row r="133" spans="1:10" hidden="1">
      <c r="A133">
        <v>132</v>
      </c>
      <c r="B133">
        <v>63</v>
      </c>
      <c r="C133" t="s">
        <v>8</v>
      </c>
      <c r="D133" s="1">
        <v>45405</v>
      </c>
      <c r="E133" t="s">
        <v>26</v>
      </c>
      <c r="F133" t="s">
        <v>18</v>
      </c>
      <c r="G133" t="s">
        <v>11</v>
      </c>
      <c r="H133">
        <v>492.32</v>
      </c>
      <c r="I133" t="str">
        <f t="shared" si="4"/>
        <v>Apr/2024</v>
      </c>
      <c r="J133">
        <f t="shared" si="5"/>
        <v>67642.330000000016</v>
      </c>
    </row>
    <row r="134" spans="1:10" hidden="1">
      <c r="A134">
        <v>133</v>
      </c>
      <c r="B134">
        <v>86</v>
      </c>
      <c r="C134" t="s">
        <v>8</v>
      </c>
      <c r="D134" s="1">
        <v>45371</v>
      </c>
      <c r="E134" t="s">
        <v>26</v>
      </c>
      <c r="F134" t="s">
        <v>21</v>
      </c>
      <c r="G134" t="s">
        <v>20</v>
      </c>
      <c r="H134">
        <v>379.78</v>
      </c>
      <c r="I134" t="str">
        <f t="shared" si="4"/>
        <v>Mar/2024</v>
      </c>
      <c r="J134">
        <f t="shared" si="5"/>
        <v>68022.110000000015</v>
      </c>
    </row>
    <row r="135" spans="1:10" hidden="1">
      <c r="A135">
        <v>134</v>
      </c>
      <c r="B135">
        <v>98</v>
      </c>
      <c r="C135" t="s">
        <v>19</v>
      </c>
      <c r="D135" s="1">
        <v>45325</v>
      </c>
      <c r="E135" t="s">
        <v>26</v>
      </c>
      <c r="F135" t="s">
        <v>21</v>
      </c>
      <c r="G135" t="s">
        <v>11</v>
      </c>
      <c r="H135">
        <v>498.71</v>
      </c>
      <c r="I135" t="str">
        <f t="shared" si="4"/>
        <v>Feb/2024</v>
      </c>
      <c r="J135">
        <f t="shared" si="5"/>
        <v>68520.820000000022</v>
      </c>
    </row>
    <row r="136" spans="1:10" hidden="1">
      <c r="A136">
        <v>135</v>
      </c>
      <c r="B136">
        <v>61</v>
      </c>
      <c r="C136" t="s">
        <v>19</v>
      </c>
      <c r="D136" s="1">
        <v>45337</v>
      </c>
      <c r="E136" t="s">
        <v>15</v>
      </c>
      <c r="F136" t="s">
        <v>21</v>
      </c>
      <c r="G136" t="s">
        <v>16</v>
      </c>
      <c r="H136">
        <v>379.01</v>
      </c>
      <c r="I136" t="str">
        <f t="shared" si="4"/>
        <v>Feb/2024</v>
      </c>
      <c r="J136">
        <f t="shared" si="5"/>
        <v>68899.830000000016</v>
      </c>
    </row>
    <row r="137" spans="1:10" hidden="1">
      <c r="A137">
        <v>136</v>
      </c>
      <c r="B137">
        <v>67</v>
      </c>
      <c r="C137" t="s">
        <v>12</v>
      </c>
      <c r="D137" s="1">
        <v>45343</v>
      </c>
      <c r="E137" t="s">
        <v>15</v>
      </c>
      <c r="F137" t="s">
        <v>10</v>
      </c>
      <c r="G137" t="s">
        <v>16</v>
      </c>
      <c r="H137">
        <v>79.52</v>
      </c>
      <c r="I137" t="str">
        <f t="shared" si="4"/>
        <v>Feb/2024</v>
      </c>
      <c r="J137">
        <f t="shared" si="5"/>
        <v>68979.35000000002</v>
      </c>
    </row>
    <row r="138" spans="1:10" hidden="1">
      <c r="A138">
        <v>137</v>
      </c>
      <c r="B138">
        <v>2</v>
      </c>
      <c r="C138" t="s">
        <v>12</v>
      </c>
      <c r="D138" s="1">
        <v>45401</v>
      </c>
      <c r="E138" t="s">
        <v>15</v>
      </c>
      <c r="F138" t="s">
        <v>18</v>
      </c>
      <c r="G138" t="s">
        <v>16</v>
      </c>
      <c r="H138">
        <v>602.25</v>
      </c>
      <c r="I138" t="str">
        <f t="shared" si="4"/>
        <v>Apr/2024</v>
      </c>
      <c r="J138">
        <f t="shared" si="5"/>
        <v>69581.60000000002</v>
      </c>
    </row>
    <row r="139" spans="1:10" hidden="1">
      <c r="A139">
        <v>138</v>
      </c>
      <c r="B139">
        <v>11</v>
      </c>
      <c r="C139" t="s">
        <v>8</v>
      </c>
      <c r="D139" s="1">
        <v>45356</v>
      </c>
      <c r="E139" t="s">
        <v>9</v>
      </c>
      <c r="F139" t="s">
        <v>18</v>
      </c>
      <c r="G139" t="s">
        <v>16</v>
      </c>
      <c r="H139">
        <v>575.71</v>
      </c>
      <c r="I139" t="str">
        <f t="shared" si="4"/>
        <v>Mar/2024</v>
      </c>
      <c r="J139">
        <f t="shared" si="5"/>
        <v>70157.310000000027</v>
      </c>
    </row>
    <row r="140" spans="1:10" hidden="1">
      <c r="A140">
        <v>139</v>
      </c>
      <c r="B140">
        <v>58</v>
      </c>
      <c r="C140" t="s">
        <v>19</v>
      </c>
      <c r="D140" s="1">
        <v>45467</v>
      </c>
      <c r="E140" t="s">
        <v>26</v>
      </c>
      <c r="F140" t="s">
        <v>18</v>
      </c>
      <c r="G140" t="s">
        <v>11</v>
      </c>
      <c r="H140">
        <v>760.33</v>
      </c>
      <c r="I140" t="str">
        <f t="shared" si="4"/>
        <v>Jun/2024</v>
      </c>
      <c r="J140">
        <f t="shared" si="5"/>
        <v>70917.640000000029</v>
      </c>
    </row>
    <row r="141" spans="1:10" hidden="1">
      <c r="A141">
        <v>140</v>
      </c>
      <c r="B141">
        <v>68</v>
      </c>
      <c r="C141" t="s">
        <v>12</v>
      </c>
      <c r="D141" s="1">
        <v>45386</v>
      </c>
      <c r="E141" t="s">
        <v>15</v>
      </c>
      <c r="F141" t="s">
        <v>18</v>
      </c>
      <c r="G141" t="s">
        <v>20</v>
      </c>
      <c r="H141">
        <v>955.54</v>
      </c>
      <c r="I141" t="str">
        <f t="shared" si="4"/>
        <v>Apr/2024</v>
      </c>
      <c r="J141">
        <f t="shared" si="5"/>
        <v>71873.180000000022</v>
      </c>
    </row>
    <row r="142" spans="1:10" hidden="1">
      <c r="A142">
        <v>141</v>
      </c>
      <c r="B142">
        <v>28</v>
      </c>
      <c r="C142" t="s">
        <v>19</v>
      </c>
      <c r="D142" s="1">
        <v>45297</v>
      </c>
      <c r="E142" t="s">
        <v>15</v>
      </c>
      <c r="F142" t="s">
        <v>10</v>
      </c>
      <c r="G142" t="s">
        <v>11</v>
      </c>
      <c r="H142">
        <v>679.88</v>
      </c>
      <c r="I142" t="str">
        <f t="shared" si="4"/>
        <v>Jan/2024</v>
      </c>
      <c r="J142">
        <f t="shared" si="5"/>
        <v>72553.060000000027</v>
      </c>
    </row>
    <row r="143" spans="1:10" hidden="1">
      <c r="A143">
        <v>142</v>
      </c>
      <c r="B143">
        <v>63</v>
      </c>
      <c r="C143" t="s">
        <v>8</v>
      </c>
      <c r="D143" s="1">
        <v>45376</v>
      </c>
      <c r="E143" t="s">
        <v>15</v>
      </c>
      <c r="F143" t="s">
        <v>18</v>
      </c>
      <c r="G143" t="s">
        <v>11</v>
      </c>
      <c r="H143">
        <v>71.91</v>
      </c>
      <c r="I143" t="str">
        <f t="shared" si="4"/>
        <v>Mar/2024</v>
      </c>
      <c r="J143">
        <f t="shared" si="5"/>
        <v>72624.97000000003</v>
      </c>
    </row>
    <row r="144" spans="1:10" hidden="1">
      <c r="A144">
        <v>143</v>
      </c>
      <c r="B144">
        <v>100</v>
      </c>
      <c r="C144" t="s">
        <v>12</v>
      </c>
      <c r="D144" s="1">
        <v>45439</v>
      </c>
      <c r="E144" t="s">
        <v>15</v>
      </c>
      <c r="F144" t="s">
        <v>21</v>
      </c>
      <c r="G144" t="s">
        <v>20</v>
      </c>
      <c r="H144">
        <v>916.79</v>
      </c>
      <c r="I144" t="str">
        <f t="shared" si="4"/>
        <v>May/2024</v>
      </c>
      <c r="J144">
        <f t="shared" si="5"/>
        <v>73541.760000000024</v>
      </c>
    </row>
    <row r="145" spans="1:10" hidden="1">
      <c r="A145">
        <v>144</v>
      </c>
      <c r="B145">
        <v>45</v>
      </c>
      <c r="C145" t="s">
        <v>19</v>
      </c>
      <c r="D145" s="1">
        <v>45461</v>
      </c>
      <c r="E145" t="s">
        <v>15</v>
      </c>
      <c r="F145" t="s">
        <v>21</v>
      </c>
      <c r="G145" t="s">
        <v>20</v>
      </c>
      <c r="H145">
        <v>558.34</v>
      </c>
      <c r="I145" t="str">
        <f t="shared" si="4"/>
        <v>Jun/2024</v>
      </c>
      <c r="J145">
        <f t="shared" si="5"/>
        <v>74100.10000000002</v>
      </c>
    </row>
    <row r="146" spans="1:10" hidden="1">
      <c r="A146">
        <v>145</v>
      </c>
      <c r="B146">
        <v>25</v>
      </c>
      <c r="C146" t="s">
        <v>8</v>
      </c>
      <c r="D146" s="1">
        <v>45307</v>
      </c>
      <c r="E146" t="s">
        <v>15</v>
      </c>
      <c r="F146" t="s">
        <v>10</v>
      </c>
      <c r="G146" t="s">
        <v>20</v>
      </c>
      <c r="H146">
        <v>23.02</v>
      </c>
      <c r="I146" t="str">
        <f t="shared" si="4"/>
        <v>Jan/2024</v>
      </c>
      <c r="J146">
        <f t="shared" si="5"/>
        <v>74123.120000000024</v>
      </c>
    </row>
    <row r="147" spans="1:10" hidden="1">
      <c r="A147">
        <v>146</v>
      </c>
      <c r="B147">
        <v>43</v>
      </c>
      <c r="C147" t="s">
        <v>19</v>
      </c>
      <c r="D147" s="1">
        <v>45408</v>
      </c>
      <c r="E147" t="s">
        <v>15</v>
      </c>
      <c r="F147" t="s">
        <v>10</v>
      </c>
      <c r="G147" t="s">
        <v>11</v>
      </c>
      <c r="H147">
        <v>346.23</v>
      </c>
      <c r="I147" t="str">
        <f t="shared" si="4"/>
        <v>Apr/2024</v>
      </c>
      <c r="J147">
        <f t="shared" si="5"/>
        <v>74469.35000000002</v>
      </c>
    </row>
    <row r="148" spans="1:10" hidden="1">
      <c r="A148">
        <v>147</v>
      </c>
      <c r="B148">
        <v>45</v>
      </c>
      <c r="C148" t="s">
        <v>8</v>
      </c>
      <c r="D148" s="1">
        <v>45387</v>
      </c>
      <c r="E148" t="s">
        <v>15</v>
      </c>
      <c r="F148" t="s">
        <v>18</v>
      </c>
      <c r="G148" t="s">
        <v>16</v>
      </c>
      <c r="H148">
        <v>926.31</v>
      </c>
      <c r="I148" t="str">
        <f t="shared" si="4"/>
        <v>Apr/2024</v>
      </c>
      <c r="J148">
        <f t="shared" si="5"/>
        <v>75395.660000000018</v>
      </c>
    </row>
    <row r="149" spans="1:10" hidden="1">
      <c r="A149">
        <v>148</v>
      </c>
      <c r="B149">
        <v>84</v>
      </c>
      <c r="C149" t="s">
        <v>19</v>
      </c>
      <c r="D149" s="1">
        <v>45320</v>
      </c>
      <c r="E149" t="s">
        <v>15</v>
      </c>
      <c r="F149" t="s">
        <v>18</v>
      </c>
      <c r="G149" t="s">
        <v>16</v>
      </c>
      <c r="H149">
        <v>783.88</v>
      </c>
      <c r="I149" t="str">
        <f t="shared" si="4"/>
        <v>Jan/2024</v>
      </c>
      <c r="J149">
        <f t="shared" si="5"/>
        <v>76179.540000000023</v>
      </c>
    </row>
    <row r="150" spans="1:10" hidden="1">
      <c r="A150">
        <v>149</v>
      </c>
      <c r="B150">
        <v>41</v>
      </c>
      <c r="C150" t="s">
        <v>19</v>
      </c>
      <c r="D150" s="1">
        <v>45316</v>
      </c>
      <c r="E150" t="s">
        <v>26</v>
      </c>
      <c r="F150" t="s">
        <v>21</v>
      </c>
      <c r="G150" t="s">
        <v>16</v>
      </c>
      <c r="H150">
        <v>747.18</v>
      </c>
      <c r="I150" t="str">
        <f t="shared" si="4"/>
        <v>Jan/2024</v>
      </c>
      <c r="J150">
        <f t="shared" si="5"/>
        <v>76926.720000000016</v>
      </c>
    </row>
    <row r="151" spans="1:10" hidden="1">
      <c r="A151">
        <v>150</v>
      </c>
      <c r="B151">
        <v>53</v>
      </c>
      <c r="C151" t="s">
        <v>12</v>
      </c>
      <c r="D151" s="1">
        <v>45373</v>
      </c>
      <c r="E151" t="s">
        <v>26</v>
      </c>
      <c r="F151" t="s">
        <v>18</v>
      </c>
      <c r="G151" t="s">
        <v>20</v>
      </c>
      <c r="H151">
        <v>415.84</v>
      </c>
      <c r="I151" t="str">
        <f t="shared" si="4"/>
        <v>Mar/2024</v>
      </c>
      <c r="J151">
        <f t="shared" si="5"/>
        <v>77342.560000000012</v>
      </c>
    </row>
    <row r="152" spans="1:10" hidden="1">
      <c r="A152">
        <v>151</v>
      </c>
      <c r="B152">
        <v>61</v>
      </c>
      <c r="C152" t="s">
        <v>8</v>
      </c>
      <c r="D152" s="1">
        <v>45450</v>
      </c>
      <c r="E152" t="s">
        <v>9</v>
      </c>
      <c r="F152" t="s">
        <v>10</v>
      </c>
      <c r="G152" t="s">
        <v>11</v>
      </c>
      <c r="H152">
        <v>502.15</v>
      </c>
      <c r="I152" t="str">
        <f t="shared" si="4"/>
        <v>Jun/2024</v>
      </c>
      <c r="J152">
        <f t="shared" si="5"/>
        <v>77844.710000000006</v>
      </c>
    </row>
    <row r="153" spans="1:10" hidden="1">
      <c r="A153">
        <v>152</v>
      </c>
      <c r="B153">
        <v>97</v>
      </c>
      <c r="C153" t="s">
        <v>8</v>
      </c>
      <c r="D153" s="1">
        <v>45318</v>
      </c>
      <c r="E153" t="s">
        <v>15</v>
      </c>
      <c r="F153" t="s">
        <v>21</v>
      </c>
      <c r="G153" t="s">
        <v>20</v>
      </c>
      <c r="H153">
        <v>94.7</v>
      </c>
      <c r="I153" t="str">
        <f t="shared" si="4"/>
        <v>Jan/2024</v>
      </c>
      <c r="J153">
        <f t="shared" si="5"/>
        <v>77939.41</v>
      </c>
    </row>
    <row r="154" spans="1:10" hidden="1">
      <c r="A154">
        <v>153</v>
      </c>
      <c r="B154">
        <v>63</v>
      </c>
      <c r="C154" t="s">
        <v>19</v>
      </c>
      <c r="D154" s="1">
        <v>45300</v>
      </c>
      <c r="E154" t="s">
        <v>26</v>
      </c>
      <c r="F154" t="s">
        <v>10</v>
      </c>
      <c r="G154" t="s">
        <v>20</v>
      </c>
      <c r="H154">
        <v>426.04</v>
      </c>
      <c r="I154" t="str">
        <f t="shared" si="4"/>
        <v>Jan/2024</v>
      </c>
      <c r="J154">
        <f t="shared" si="5"/>
        <v>78365.45</v>
      </c>
    </row>
    <row r="155" spans="1:10" hidden="1">
      <c r="A155">
        <v>154</v>
      </c>
      <c r="B155">
        <v>75</v>
      </c>
      <c r="C155" t="s">
        <v>19</v>
      </c>
      <c r="D155" s="1">
        <v>45415</v>
      </c>
      <c r="E155" t="s">
        <v>26</v>
      </c>
      <c r="F155" t="s">
        <v>21</v>
      </c>
      <c r="G155" t="s">
        <v>16</v>
      </c>
      <c r="H155">
        <v>380.52</v>
      </c>
      <c r="I155" t="str">
        <f t="shared" si="4"/>
        <v>May/2024</v>
      </c>
      <c r="J155">
        <f t="shared" si="5"/>
        <v>78745.97</v>
      </c>
    </row>
    <row r="156" spans="1:10" hidden="1">
      <c r="A156">
        <v>155</v>
      </c>
      <c r="B156">
        <v>10</v>
      </c>
      <c r="C156" t="s">
        <v>8</v>
      </c>
      <c r="D156" s="1">
        <v>45315</v>
      </c>
      <c r="E156" t="s">
        <v>9</v>
      </c>
      <c r="F156" t="s">
        <v>10</v>
      </c>
      <c r="G156" t="s">
        <v>11</v>
      </c>
      <c r="H156">
        <v>935.64</v>
      </c>
      <c r="I156" t="str">
        <f t="shared" si="4"/>
        <v>Jan/2024</v>
      </c>
      <c r="J156">
        <f t="shared" si="5"/>
        <v>79681.61</v>
      </c>
    </row>
    <row r="157" spans="1:10" hidden="1">
      <c r="A157">
        <v>156</v>
      </c>
      <c r="B157">
        <v>56</v>
      </c>
      <c r="C157" t="s">
        <v>12</v>
      </c>
      <c r="D157" s="1">
        <v>45433</v>
      </c>
      <c r="E157" t="s">
        <v>15</v>
      </c>
      <c r="F157" t="s">
        <v>10</v>
      </c>
      <c r="G157" t="s">
        <v>20</v>
      </c>
      <c r="H157">
        <v>595.9</v>
      </c>
      <c r="I157" t="str">
        <f t="shared" si="4"/>
        <v>May/2024</v>
      </c>
      <c r="J157">
        <f t="shared" si="5"/>
        <v>80277.509999999995</v>
      </c>
    </row>
    <row r="158" spans="1:10" hidden="1">
      <c r="A158">
        <v>157</v>
      </c>
      <c r="B158">
        <v>96</v>
      </c>
      <c r="C158" t="s">
        <v>12</v>
      </c>
      <c r="D158" s="1">
        <v>45419</v>
      </c>
      <c r="E158" t="s">
        <v>26</v>
      </c>
      <c r="F158" t="s">
        <v>10</v>
      </c>
      <c r="G158" t="s">
        <v>20</v>
      </c>
      <c r="H158">
        <v>788.22</v>
      </c>
      <c r="I158" t="str">
        <f t="shared" si="4"/>
        <v>May/2024</v>
      </c>
      <c r="J158">
        <f t="shared" si="5"/>
        <v>81065.73</v>
      </c>
    </row>
    <row r="159" spans="1:10" hidden="1">
      <c r="A159">
        <v>158</v>
      </c>
      <c r="B159">
        <v>96</v>
      </c>
      <c r="C159" t="s">
        <v>12</v>
      </c>
      <c r="D159" s="1">
        <v>45307</v>
      </c>
      <c r="E159" t="s">
        <v>26</v>
      </c>
      <c r="F159" t="s">
        <v>18</v>
      </c>
      <c r="G159" t="s">
        <v>11</v>
      </c>
      <c r="H159">
        <v>465.74</v>
      </c>
      <c r="I159" t="str">
        <f t="shared" si="4"/>
        <v>Jan/2024</v>
      </c>
      <c r="J159">
        <f t="shared" si="5"/>
        <v>81531.47</v>
      </c>
    </row>
    <row r="160" spans="1:10" hidden="1">
      <c r="A160">
        <v>159</v>
      </c>
      <c r="B160">
        <v>77</v>
      </c>
      <c r="C160" t="s">
        <v>8</v>
      </c>
      <c r="D160" s="1">
        <v>45431</v>
      </c>
      <c r="E160" t="s">
        <v>15</v>
      </c>
      <c r="F160" t="s">
        <v>21</v>
      </c>
      <c r="G160" t="s">
        <v>16</v>
      </c>
      <c r="H160">
        <v>661.8</v>
      </c>
      <c r="I160" t="str">
        <f t="shared" si="4"/>
        <v>May/2024</v>
      </c>
      <c r="J160">
        <f t="shared" si="5"/>
        <v>82193.27</v>
      </c>
    </row>
    <row r="161" spans="1:10" hidden="1">
      <c r="A161">
        <v>160</v>
      </c>
      <c r="B161">
        <v>91</v>
      </c>
      <c r="C161" t="s">
        <v>8</v>
      </c>
      <c r="D161" s="1">
        <v>45429</v>
      </c>
      <c r="E161" t="s">
        <v>26</v>
      </c>
      <c r="F161" t="s">
        <v>21</v>
      </c>
      <c r="G161" t="s">
        <v>20</v>
      </c>
      <c r="H161">
        <v>532.77</v>
      </c>
      <c r="I161" t="str">
        <f t="shared" si="4"/>
        <v>May/2024</v>
      </c>
      <c r="J161">
        <f t="shared" si="5"/>
        <v>82726.040000000008</v>
      </c>
    </row>
    <row r="162" spans="1:10" hidden="1">
      <c r="A162">
        <v>161</v>
      </c>
      <c r="B162">
        <v>56</v>
      </c>
      <c r="C162" t="s">
        <v>19</v>
      </c>
      <c r="D162" s="1">
        <v>45433</v>
      </c>
      <c r="E162" t="s">
        <v>9</v>
      </c>
      <c r="F162" t="s">
        <v>10</v>
      </c>
      <c r="G162" t="s">
        <v>11</v>
      </c>
      <c r="H162">
        <v>612.03</v>
      </c>
      <c r="I162" t="str">
        <f t="shared" si="4"/>
        <v>May/2024</v>
      </c>
      <c r="J162">
        <f t="shared" si="5"/>
        <v>83338.070000000007</v>
      </c>
    </row>
    <row r="163" spans="1:10" hidden="1">
      <c r="A163">
        <v>162</v>
      </c>
      <c r="B163">
        <v>56</v>
      </c>
      <c r="C163" t="s">
        <v>12</v>
      </c>
      <c r="D163" s="1">
        <v>45331</v>
      </c>
      <c r="E163" t="s">
        <v>9</v>
      </c>
      <c r="F163" t="s">
        <v>21</v>
      </c>
      <c r="G163" t="s">
        <v>20</v>
      </c>
      <c r="H163">
        <v>614.11</v>
      </c>
      <c r="I163" t="str">
        <f t="shared" si="4"/>
        <v>Feb/2024</v>
      </c>
      <c r="J163">
        <f t="shared" si="5"/>
        <v>83952.180000000008</v>
      </c>
    </row>
    <row r="164" spans="1:10" hidden="1">
      <c r="A164">
        <v>163</v>
      </c>
      <c r="B164">
        <v>12</v>
      </c>
      <c r="C164" t="s">
        <v>19</v>
      </c>
      <c r="D164" s="1">
        <v>45321</v>
      </c>
      <c r="E164" t="s">
        <v>26</v>
      </c>
      <c r="F164" t="s">
        <v>10</v>
      </c>
      <c r="G164" t="s">
        <v>20</v>
      </c>
      <c r="H164">
        <v>238.39</v>
      </c>
      <c r="I164" t="str">
        <f t="shared" si="4"/>
        <v>Jan/2024</v>
      </c>
      <c r="J164">
        <f t="shared" si="5"/>
        <v>84190.57</v>
      </c>
    </row>
    <row r="165" spans="1:10" hidden="1">
      <c r="A165">
        <v>164</v>
      </c>
      <c r="B165">
        <v>6</v>
      </c>
      <c r="C165" t="s">
        <v>8</v>
      </c>
      <c r="D165" s="1">
        <v>45402</v>
      </c>
      <c r="E165" t="s">
        <v>15</v>
      </c>
      <c r="F165" t="s">
        <v>10</v>
      </c>
      <c r="G165" t="s">
        <v>11</v>
      </c>
      <c r="H165">
        <v>986.51</v>
      </c>
      <c r="I165" t="str">
        <f t="shared" si="4"/>
        <v>Apr/2024</v>
      </c>
      <c r="J165">
        <f t="shared" si="5"/>
        <v>85177.08</v>
      </c>
    </row>
    <row r="166" spans="1:10" hidden="1">
      <c r="A166">
        <v>165</v>
      </c>
      <c r="B166">
        <v>30</v>
      </c>
      <c r="C166" t="s">
        <v>19</v>
      </c>
      <c r="D166" s="1">
        <v>45418</v>
      </c>
      <c r="E166" t="s">
        <v>9</v>
      </c>
      <c r="F166" t="s">
        <v>18</v>
      </c>
      <c r="G166" t="s">
        <v>16</v>
      </c>
      <c r="H166">
        <v>796.76</v>
      </c>
      <c r="I166" t="str">
        <f t="shared" si="4"/>
        <v>May/2024</v>
      </c>
      <c r="J166">
        <f t="shared" si="5"/>
        <v>85973.84</v>
      </c>
    </row>
    <row r="167" spans="1:10" hidden="1">
      <c r="A167">
        <v>166</v>
      </c>
      <c r="B167">
        <v>34</v>
      </c>
      <c r="C167" t="s">
        <v>12</v>
      </c>
      <c r="D167" s="1">
        <v>45337</v>
      </c>
      <c r="E167" t="s">
        <v>9</v>
      </c>
      <c r="F167" t="s">
        <v>10</v>
      </c>
      <c r="G167" t="s">
        <v>11</v>
      </c>
      <c r="H167">
        <v>105.27</v>
      </c>
      <c r="I167" t="str">
        <f t="shared" si="4"/>
        <v>Feb/2024</v>
      </c>
      <c r="J167">
        <f t="shared" si="5"/>
        <v>86079.11</v>
      </c>
    </row>
    <row r="168" spans="1:10" hidden="1">
      <c r="A168">
        <v>167</v>
      </c>
      <c r="B168">
        <v>99</v>
      </c>
      <c r="C168" t="s">
        <v>19</v>
      </c>
      <c r="D168" s="1">
        <v>45318</v>
      </c>
      <c r="E168" t="s">
        <v>26</v>
      </c>
      <c r="F168" t="s">
        <v>21</v>
      </c>
      <c r="G168" t="s">
        <v>16</v>
      </c>
      <c r="H168">
        <v>950.97</v>
      </c>
      <c r="I168" t="str">
        <f t="shared" si="4"/>
        <v>Jan/2024</v>
      </c>
      <c r="J168">
        <f t="shared" si="5"/>
        <v>87030.080000000002</v>
      </c>
    </row>
    <row r="169" spans="1:10" hidden="1">
      <c r="A169">
        <v>168</v>
      </c>
      <c r="B169">
        <v>14</v>
      </c>
      <c r="C169" t="s">
        <v>8</v>
      </c>
      <c r="D169" s="1">
        <v>45472</v>
      </c>
      <c r="E169" t="s">
        <v>26</v>
      </c>
      <c r="F169" t="s">
        <v>18</v>
      </c>
      <c r="G169" t="s">
        <v>11</v>
      </c>
      <c r="H169">
        <v>517.41</v>
      </c>
      <c r="I169" t="str">
        <f t="shared" si="4"/>
        <v>Jun/2024</v>
      </c>
      <c r="J169">
        <f t="shared" si="5"/>
        <v>87547.49</v>
      </c>
    </row>
    <row r="170" spans="1:10" hidden="1">
      <c r="A170">
        <v>169</v>
      </c>
      <c r="B170">
        <v>70</v>
      </c>
      <c r="C170" t="s">
        <v>19</v>
      </c>
      <c r="D170" s="1">
        <v>45446</v>
      </c>
      <c r="E170" t="s">
        <v>26</v>
      </c>
      <c r="F170" t="s">
        <v>18</v>
      </c>
      <c r="G170" t="s">
        <v>20</v>
      </c>
      <c r="H170">
        <v>789.62</v>
      </c>
      <c r="I170" t="str">
        <f t="shared" si="4"/>
        <v>Jun/2024</v>
      </c>
      <c r="J170">
        <f t="shared" si="5"/>
        <v>88337.11</v>
      </c>
    </row>
    <row r="171" spans="1:10" hidden="1">
      <c r="A171">
        <v>170</v>
      </c>
      <c r="B171">
        <v>4</v>
      </c>
      <c r="C171" t="s">
        <v>12</v>
      </c>
      <c r="D171" s="1">
        <v>45428</v>
      </c>
      <c r="E171" t="s">
        <v>15</v>
      </c>
      <c r="F171" t="s">
        <v>21</v>
      </c>
      <c r="G171" t="s">
        <v>11</v>
      </c>
      <c r="H171">
        <v>942.03</v>
      </c>
      <c r="I171" t="str">
        <f t="shared" si="4"/>
        <v>May/2024</v>
      </c>
      <c r="J171">
        <f t="shared" si="5"/>
        <v>89279.14</v>
      </c>
    </row>
    <row r="172" spans="1:10" hidden="1">
      <c r="A172">
        <v>171</v>
      </c>
      <c r="B172">
        <v>74</v>
      </c>
      <c r="C172" t="s">
        <v>19</v>
      </c>
      <c r="D172" s="1">
        <v>45408</v>
      </c>
      <c r="E172" t="s">
        <v>26</v>
      </c>
      <c r="F172" t="s">
        <v>21</v>
      </c>
      <c r="G172" t="s">
        <v>20</v>
      </c>
      <c r="H172">
        <v>352.05</v>
      </c>
      <c r="I172" t="str">
        <f t="shared" si="4"/>
        <v>Apr/2024</v>
      </c>
      <c r="J172">
        <f t="shared" si="5"/>
        <v>89631.19</v>
      </c>
    </row>
    <row r="173" spans="1:10" hidden="1">
      <c r="A173">
        <v>172</v>
      </c>
      <c r="B173">
        <v>25</v>
      </c>
      <c r="C173" t="s">
        <v>19</v>
      </c>
      <c r="D173" s="1">
        <v>45293</v>
      </c>
      <c r="E173" t="s">
        <v>9</v>
      </c>
      <c r="F173" t="s">
        <v>18</v>
      </c>
      <c r="G173" t="s">
        <v>16</v>
      </c>
      <c r="H173">
        <v>10.220000000000001</v>
      </c>
      <c r="I173" t="str">
        <f t="shared" si="4"/>
        <v>Jan/2024</v>
      </c>
      <c r="J173">
        <f t="shared" si="5"/>
        <v>89641.41</v>
      </c>
    </row>
    <row r="174" spans="1:10" hidden="1">
      <c r="A174">
        <v>173</v>
      </c>
      <c r="B174">
        <v>74</v>
      </c>
      <c r="C174" t="s">
        <v>19</v>
      </c>
      <c r="D174" s="1">
        <v>45380</v>
      </c>
      <c r="E174" t="s">
        <v>9</v>
      </c>
      <c r="F174" t="s">
        <v>21</v>
      </c>
      <c r="G174" t="s">
        <v>16</v>
      </c>
      <c r="H174">
        <v>932.23</v>
      </c>
      <c r="I174" t="str">
        <f t="shared" si="4"/>
        <v>Mar/2024</v>
      </c>
      <c r="J174">
        <f t="shared" si="5"/>
        <v>90573.64</v>
      </c>
    </row>
    <row r="175" spans="1:10" hidden="1">
      <c r="A175">
        <v>174</v>
      </c>
      <c r="B175">
        <v>51</v>
      </c>
      <c r="C175" t="s">
        <v>12</v>
      </c>
      <c r="D175" s="1">
        <v>45441</v>
      </c>
      <c r="E175" t="s">
        <v>26</v>
      </c>
      <c r="F175" t="s">
        <v>18</v>
      </c>
      <c r="G175" t="s">
        <v>16</v>
      </c>
      <c r="H175">
        <v>715.22</v>
      </c>
      <c r="I175" t="str">
        <f t="shared" si="4"/>
        <v>May/2024</v>
      </c>
      <c r="J175">
        <f t="shared" si="5"/>
        <v>91288.86</v>
      </c>
    </row>
    <row r="176" spans="1:10" hidden="1">
      <c r="A176">
        <v>175</v>
      </c>
      <c r="B176">
        <v>6</v>
      </c>
      <c r="C176" t="s">
        <v>8</v>
      </c>
      <c r="D176" s="1">
        <v>45341</v>
      </c>
      <c r="E176" t="s">
        <v>15</v>
      </c>
      <c r="F176" t="s">
        <v>21</v>
      </c>
      <c r="G176" t="s">
        <v>20</v>
      </c>
      <c r="H176">
        <v>999.64</v>
      </c>
      <c r="I176" t="str">
        <f t="shared" si="4"/>
        <v>Feb/2024</v>
      </c>
      <c r="J176">
        <f t="shared" si="5"/>
        <v>92288.5</v>
      </c>
    </row>
    <row r="177" spans="1:10" hidden="1">
      <c r="A177">
        <v>176</v>
      </c>
      <c r="B177">
        <v>13</v>
      </c>
      <c r="C177" t="s">
        <v>8</v>
      </c>
      <c r="D177" s="1">
        <v>45360</v>
      </c>
      <c r="E177" t="s">
        <v>26</v>
      </c>
      <c r="F177" t="s">
        <v>18</v>
      </c>
      <c r="G177" t="s">
        <v>20</v>
      </c>
      <c r="H177">
        <v>952.49</v>
      </c>
      <c r="I177" t="str">
        <f t="shared" si="4"/>
        <v>Mar/2024</v>
      </c>
      <c r="J177">
        <f t="shared" si="5"/>
        <v>93240.99</v>
      </c>
    </row>
    <row r="178" spans="1:10" hidden="1">
      <c r="A178">
        <v>177</v>
      </c>
      <c r="B178">
        <v>34</v>
      </c>
      <c r="C178" t="s">
        <v>8</v>
      </c>
      <c r="D178" s="1">
        <v>45312</v>
      </c>
      <c r="E178" t="s">
        <v>15</v>
      </c>
      <c r="F178" t="s">
        <v>10</v>
      </c>
      <c r="G178" t="s">
        <v>20</v>
      </c>
      <c r="H178">
        <v>174.76</v>
      </c>
      <c r="I178" t="str">
        <f t="shared" si="4"/>
        <v>Jan/2024</v>
      </c>
      <c r="J178">
        <f t="shared" si="5"/>
        <v>93415.75</v>
      </c>
    </row>
    <row r="179" spans="1:10" hidden="1">
      <c r="A179">
        <v>178</v>
      </c>
      <c r="B179">
        <v>51</v>
      </c>
      <c r="C179" t="s">
        <v>12</v>
      </c>
      <c r="D179" s="1">
        <v>45308</v>
      </c>
      <c r="E179" t="s">
        <v>15</v>
      </c>
      <c r="F179" t="s">
        <v>10</v>
      </c>
      <c r="G179" t="s">
        <v>11</v>
      </c>
      <c r="H179">
        <v>755.15</v>
      </c>
      <c r="I179" t="str">
        <f t="shared" si="4"/>
        <v>Jan/2024</v>
      </c>
      <c r="J179">
        <f t="shared" si="5"/>
        <v>94170.9</v>
      </c>
    </row>
    <row r="180" spans="1:10" hidden="1">
      <c r="A180">
        <v>179</v>
      </c>
      <c r="B180">
        <v>44</v>
      </c>
      <c r="C180" t="s">
        <v>8</v>
      </c>
      <c r="D180" s="1">
        <v>45405</v>
      </c>
      <c r="E180" t="s">
        <v>26</v>
      </c>
      <c r="F180" t="s">
        <v>21</v>
      </c>
      <c r="G180" t="s">
        <v>16</v>
      </c>
      <c r="H180">
        <v>532.6</v>
      </c>
      <c r="I180" t="str">
        <f t="shared" si="4"/>
        <v>Apr/2024</v>
      </c>
      <c r="J180">
        <f t="shared" si="5"/>
        <v>94703.5</v>
      </c>
    </row>
    <row r="181" spans="1:10" hidden="1">
      <c r="A181">
        <v>180</v>
      </c>
      <c r="B181">
        <v>64</v>
      </c>
      <c r="C181" t="s">
        <v>8</v>
      </c>
      <c r="D181" s="1">
        <v>45298</v>
      </c>
      <c r="E181" t="s">
        <v>9</v>
      </c>
      <c r="F181" t="s">
        <v>10</v>
      </c>
      <c r="G181" t="s">
        <v>20</v>
      </c>
      <c r="H181">
        <v>854.25</v>
      </c>
      <c r="I181" t="str">
        <f t="shared" si="4"/>
        <v>Jan/2024</v>
      </c>
      <c r="J181">
        <f t="shared" si="5"/>
        <v>95557.75</v>
      </c>
    </row>
    <row r="182" spans="1:10" hidden="1">
      <c r="A182">
        <v>181</v>
      </c>
      <c r="B182">
        <v>91</v>
      </c>
      <c r="C182" t="s">
        <v>12</v>
      </c>
      <c r="D182" s="1">
        <v>45351</v>
      </c>
      <c r="E182" t="s">
        <v>15</v>
      </c>
      <c r="F182" t="s">
        <v>10</v>
      </c>
      <c r="G182" t="s">
        <v>16</v>
      </c>
      <c r="H182">
        <v>383.83</v>
      </c>
      <c r="I182" t="str">
        <f t="shared" si="4"/>
        <v>Feb/2024</v>
      </c>
      <c r="J182">
        <f t="shared" si="5"/>
        <v>95941.58</v>
      </c>
    </row>
    <row r="183" spans="1:10" hidden="1">
      <c r="A183">
        <v>182</v>
      </c>
      <c r="B183">
        <v>80</v>
      </c>
      <c r="C183" t="s">
        <v>12</v>
      </c>
      <c r="D183" s="1">
        <v>45318</v>
      </c>
      <c r="E183" t="s">
        <v>15</v>
      </c>
      <c r="F183" t="s">
        <v>21</v>
      </c>
      <c r="G183" t="s">
        <v>20</v>
      </c>
      <c r="H183">
        <v>80</v>
      </c>
      <c r="I183" t="str">
        <f t="shared" si="4"/>
        <v>Jan/2024</v>
      </c>
      <c r="J183">
        <f t="shared" si="5"/>
        <v>96021.58</v>
      </c>
    </row>
    <row r="184" spans="1:10" hidden="1">
      <c r="A184">
        <v>183</v>
      </c>
      <c r="B184">
        <v>8</v>
      </c>
      <c r="C184" t="s">
        <v>8</v>
      </c>
      <c r="D184" s="1">
        <v>45324</v>
      </c>
      <c r="E184" t="s">
        <v>9</v>
      </c>
      <c r="F184" t="s">
        <v>18</v>
      </c>
      <c r="G184" t="s">
        <v>11</v>
      </c>
      <c r="H184">
        <v>970.31</v>
      </c>
      <c r="I184" t="str">
        <f t="shared" si="4"/>
        <v>Feb/2024</v>
      </c>
      <c r="J184">
        <f t="shared" si="5"/>
        <v>96991.89</v>
      </c>
    </row>
    <row r="185" spans="1:10" hidden="1">
      <c r="A185">
        <v>184</v>
      </c>
      <c r="B185">
        <v>14</v>
      </c>
      <c r="C185" t="s">
        <v>12</v>
      </c>
      <c r="D185" s="1">
        <v>45331</v>
      </c>
      <c r="E185" t="s">
        <v>15</v>
      </c>
      <c r="F185" t="s">
        <v>21</v>
      </c>
      <c r="G185" t="s">
        <v>11</v>
      </c>
      <c r="H185">
        <v>517.63</v>
      </c>
      <c r="I185" t="str">
        <f t="shared" si="4"/>
        <v>Feb/2024</v>
      </c>
      <c r="J185">
        <f t="shared" si="5"/>
        <v>97509.52</v>
      </c>
    </row>
    <row r="186" spans="1:10" hidden="1">
      <c r="A186">
        <v>185</v>
      </c>
      <c r="B186">
        <v>64</v>
      </c>
      <c r="C186" t="s">
        <v>8</v>
      </c>
      <c r="D186" s="1">
        <v>45306</v>
      </c>
      <c r="E186" t="s">
        <v>26</v>
      </c>
      <c r="F186" t="s">
        <v>21</v>
      </c>
      <c r="G186" t="s">
        <v>16</v>
      </c>
      <c r="H186">
        <v>81.33</v>
      </c>
      <c r="I186" t="str">
        <f t="shared" si="4"/>
        <v>Jan/2024</v>
      </c>
      <c r="J186">
        <f t="shared" si="5"/>
        <v>97590.85</v>
      </c>
    </row>
    <row r="187" spans="1:10" hidden="1">
      <c r="A187">
        <v>186</v>
      </c>
      <c r="B187">
        <v>21</v>
      </c>
      <c r="C187" t="s">
        <v>8</v>
      </c>
      <c r="D187" s="1">
        <v>45380</v>
      </c>
      <c r="E187" t="s">
        <v>9</v>
      </c>
      <c r="F187" t="s">
        <v>18</v>
      </c>
      <c r="G187" t="s">
        <v>20</v>
      </c>
      <c r="H187">
        <v>540.91999999999996</v>
      </c>
      <c r="I187" t="str">
        <f t="shared" si="4"/>
        <v>Mar/2024</v>
      </c>
      <c r="J187">
        <f t="shared" si="5"/>
        <v>98131.77</v>
      </c>
    </row>
    <row r="188" spans="1:10" hidden="1">
      <c r="A188">
        <v>187</v>
      </c>
      <c r="B188">
        <v>13</v>
      </c>
      <c r="C188" t="s">
        <v>19</v>
      </c>
      <c r="D188" s="1">
        <v>45409</v>
      </c>
      <c r="E188" t="s">
        <v>15</v>
      </c>
      <c r="F188" t="s">
        <v>18</v>
      </c>
      <c r="G188" t="s">
        <v>11</v>
      </c>
      <c r="H188">
        <v>280.77</v>
      </c>
      <c r="I188" t="str">
        <f t="shared" si="4"/>
        <v>Apr/2024</v>
      </c>
      <c r="J188">
        <f t="shared" si="5"/>
        <v>98412.540000000008</v>
      </c>
    </row>
    <row r="189" spans="1:10" hidden="1">
      <c r="A189">
        <v>188</v>
      </c>
      <c r="B189">
        <v>56</v>
      </c>
      <c r="C189" t="s">
        <v>8</v>
      </c>
      <c r="D189" s="1">
        <v>45445</v>
      </c>
      <c r="E189" t="s">
        <v>15</v>
      </c>
      <c r="F189" t="s">
        <v>21</v>
      </c>
      <c r="G189" t="s">
        <v>16</v>
      </c>
      <c r="H189">
        <v>87.28</v>
      </c>
      <c r="I189" t="str">
        <f t="shared" si="4"/>
        <v>Jun/2024</v>
      </c>
      <c r="J189">
        <f t="shared" si="5"/>
        <v>98499.82</v>
      </c>
    </row>
    <row r="190" spans="1:10" hidden="1">
      <c r="A190">
        <v>189</v>
      </c>
      <c r="B190">
        <v>95</v>
      </c>
      <c r="C190" t="s">
        <v>19</v>
      </c>
      <c r="D190" s="1">
        <v>45345</v>
      </c>
      <c r="E190" t="s">
        <v>26</v>
      </c>
      <c r="F190" t="s">
        <v>10</v>
      </c>
      <c r="G190" t="s">
        <v>20</v>
      </c>
      <c r="H190">
        <v>306.56</v>
      </c>
      <c r="I190" t="str">
        <f t="shared" si="4"/>
        <v>Feb/2024</v>
      </c>
      <c r="J190">
        <f t="shared" si="5"/>
        <v>98806.38</v>
      </c>
    </row>
    <row r="191" spans="1:10" hidden="1">
      <c r="A191">
        <v>190</v>
      </c>
      <c r="B191">
        <v>4</v>
      </c>
      <c r="C191" t="s">
        <v>12</v>
      </c>
      <c r="D191" s="1">
        <v>45465</v>
      </c>
      <c r="E191" t="s">
        <v>26</v>
      </c>
      <c r="F191" t="s">
        <v>18</v>
      </c>
      <c r="G191" t="s">
        <v>16</v>
      </c>
      <c r="H191">
        <v>86.46</v>
      </c>
      <c r="I191" t="str">
        <f t="shared" si="4"/>
        <v>Jun/2024</v>
      </c>
      <c r="J191">
        <f t="shared" si="5"/>
        <v>98892.840000000011</v>
      </c>
    </row>
    <row r="192" spans="1:10" hidden="1">
      <c r="A192">
        <v>191</v>
      </c>
      <c r="B192">
        <v>80</v>
      </c>
      <c r="C192" t="s">
        <v>19</v>
      </c>
      <c r="D192" s="1">
        <v>45303</v>
      </c>
      <c r="E192" t="s">
        <v>26</v>
      </c>
      <c r="F192" t="s">
        <v>18</v>
      </c>
      <c r="G192" t="s">
        <v>20</v>
      </c>
      <c r="H192">
        <v>13.03</v>
      </c>
      <c r="I192" t="str">
        <f t="shared" si="4"/>
        <v>Jan/2024</v>
      </c>
      <c r="J192">
        <f t="shared" si="5"/>
        <v>98905.87000000001</v>
      </c>
    </row>
    <row r="193" spans="1:10" hidden="1">
      <c r="A193">
        <v>192</v>
      </c>
      <c r="B193">
        <v>95</v>
      </c>
      <c r="C193" t="s">
        <v>12</v>
      </c>
      <c r="D193" s="1">
        <v>45372</v>
      </c>
      <c r="E193" t="s">
        <v>9</v>
      </c>
      <c r="F193" t="s">
        <v>18</v>
      </c>
      <c r="G193" t="s">
        <v>11</v>
      </c>
      <c r="H193">
        <v>525.07000000000005</v>
      </c>
      <c r="I193" t="str">
        <f t="shared" si="4"/>
        <v>Mar/2024</v>
      </c>
      <c r="J193">
        <f t="shared" si="5"/>
        <v>99430.940000000017</v>
      </c>
    </row>
    <row r="194" spans="1:10" hidden="1">
      <c r="A194">
        <v>193</v>
      </c>
      <c r="B194">
        <v>28</v>
      </c>
      <c r="C194" t="s">
        <v>19</v>
      </c>
      <c r="D194" s="1">
        <v>45433</v>
      </c>
      <c r="E194" t="s">
        <v>9</v>
      </c>
      <c r="F194" t="s">
        <v>18</v>
      </c>
      <c r="G194" t="s">
        <v>20</v>
      </c>
      <c r="H194">
        <v>219.71</v>
      </c>
      <c r="I194" t="str">
        <f t="shared" si="4"/>
        <v>May/2024</v>
      </c>
      <c r="J194">
        <f t="shared" si="5"/>
        <v>99650.650000000023</v>
      </c>
    </row>
    <row r="195" spans="1:10" hidden="1">
      <c r="A195">
        <v>194</v>
      </c>
      <c r="B195">
        <v>1</v>
      </c>
      <c r="C195" t="s">
        <v>8</v>
      </c>
      <c r="D195" s="1">
        <v>45354</v>
      </c>
      <c r="E195" t="s">
        <v>9</v>
      </c>
      <c r="F195" t="s">
        <v>18</v>
      </c>
      <c r="G195" t="s">
        <v>11</v>
      </c>
      <c r="H195">
        <v>192.21</v>
      </c>
      <c r="I195" t="str">
        <f t="shared" ref="I195:I258" si="6">TEXT(D195,"mmm/yyyy")</f>
        <v>Mar/2024</v>
      </c>
      <c r="J195">
        <f t="shared" si="5"/>
        <v>99842.86000000003</v>
      </c>
    </row>
    <row r="196" spans="1:10" hidden="1">
      <c r="A196">
        <v>195</v>
      </c>
      <c r="B196">
        <v>17</v>
      </c>
      <c r="C196" t="s">
        <v>8</v>
      </c>
      <c r="D196" s="1">
        <v>45340</v>
      </c>
      <c r="E196" t="s">
        <v>9</v>
      </c>
      <c r="F196" t="s">
        <v>21</v>
      </c>
      <c r="G196" t="s">
        <v>16</v>
      </c>
      <c r="H196">
        <v>924.13</v>
      </c>
      <c r="I196" t="str">
        <f t="shared" si="6"/>
        <v>Feb/2024</v>
      </c>
      <c r="J196">
        <f t="shared" ref="J196:J259" si="7">J195+H196</f>
        <v>100766.99000000003</v>
      </c>
    </row>
    <row r="197" spans="1:10" hidden="1">
      <c r="A197">
        <v>196</v>
      </c>
      <c r="B197">
        <v>18</v>
      </c>
      <c r="C197" t="s">
        <v>8</v>
      </c>
      <c r="D197" s="1">
        <v>45464</v>
      </c>
      <c r="E197" t="s">
        <v>9</v>
      </c>
      <c r="F197" t="s">
        <v>10</v>
      </c>
      <c r="G197" t="s">
        <v>20</v>
      </c>
      <c r="H197">
        <v>65.23</v>
      </c>
      <c r="I197" t="str">
        <f t="shared" si="6"/>
        <v>Jun/2024</v>
      </c>
      <c r="J197">
        <f t="shared" si="7"/>
        <v>100832.22000000003</v>
      </c>
    </row>
    <row r="198" spans="1:10" hidden="1">
      <c r="A198">
        <v>197</v>
      </c>
      <c r="B198">
        <v>76</v>
      </c>
      <c r="C198" t="s">
        <v>19</v>
      </c>
      <c r="D198" s="1">
        <v>45440</v>
      </c>
      <c r="E198" t="s">
        <v>15</v>
      </c>
      <c r="F198" t="s">
        <v>21</v>
      </c>
      <c r="G198" t="s">
        <v>16</v>
      </c>
      <c r="H198">
        <v>481.7</v>
      </c>
      <c r="I198" t="str">
        <f t="shared" si="6"/>
        <v>May/2024</v>
      </c>
      <c r="J198">
        <f t="shared" si="7"/>
        <v>101313.92000000003</v>
      </c>
    </row>
    <row r="199" spans="1:10" hidden="1">
      <c r="A199">
        <v>198</v>
      </c>
      <c r="B199">
        <v>28</v>
      </c>
      <c r="C199" t="s">
        <v>19</v>
      </c>
      <c r="D199" s="1">
        <v>45396</v>
      </c>
      <c r="E199" t="s">
        <v>26</v>
      </c>
      <c r="F199" t="s">
        <v>10</v>
      </c>
      <c r="G199" t="s">
        <v>20</v>
      </c>
      <c r="H199">
        <v>561.27</v>
      </c>
      <c r="I199" t="str">
        <f t="shared" si="6"/>
        <v>Apr/2024</v>
      </c>
      <c r="J199">
        <f t="shared" si="7"/>
        <v>101875.19000000003</v>
      </c>
    </row>
    <row r="200" spans="1:10" hidden="1">
      <c r="A200">
        <v>199</v>
      </c>
      <c r="B200">
        <v>75</v>
      </c>
      <c r="C200" t="s">
        <v>8</v>
      </c>
      <c r="D200" s="1">
        <v>45321</v>
      </c>
      <c r="E200" t="s">
        <v>15</v>
      </c>
      <c r="F200" t="s">
        <v>21</v>
      </c>
      <c r="G200" t="s">
        <v>11</v>
      </c>
      <c r="H200">
        <v>169.54</v>
      </c>
      <c r="I200" t="str">
        <f t="shared" si="6"/>
        <v>Jan/2024</v>
      </c>
      <c r="J200">
        <f t="shared" si="7"/>
        <v>102044.73000000003</v>
      </c>
    </row>
    <row r="201" spans="1:10" hidden="1">
      <c r="A201">
        <v>200</v>
      </c>
      <c r="B201">
        <v>78</v>
      </c>
      <c r="C201" t="s">
        <v>19</v>
      </c>
      <c r="D201" s="1">
        <v>45386</v>
      </c>
      <c r="E201" t="s">
        <v>26</v>
      </c>
      <c r="F201" t="s">
        <v>21</v>
      </c>
      <c r="G201" t="s">
        <v>11</v>
      </c>
      <c r="H201">
        <v>629.38</v>
      </c>
      <c r="I201" t="str">
        <f t="shared" si="6"/>
        <v>Apr/2024</v>
      </c>
      <c r="J201">
        <f t="shared" si="7"/>
        <v>102674.11000000003</v>
      </c>
    </row>
    <row r="202" spans="1:10" hidden="1">
      <c r="A202">
        <v>201</v>
      </c>
      <c r="B202">
        <v>8</v>
      </c>
      <c r="C202" t="s">
        <v>19</v>
      </c>
      <c r="D202" s="1">
        <v>45295</v>
      </c>
      <c r="E202" t="s">
        <v>26</v>
      </c>
      <c r="F202" t="s">
        <v>18</v>
      </c>
      <c r="G202" t="s">
        <v>16</v>
      </c>
      <c r="H202">
        <v>783.36</v>
      </c>
      <c r="I202" t="str">
        <f t="shared" si="6"/>
        <v>Jan/2024</v>
      </c>
      <c r="J202">
        <f t="shared" si="7"/>
        <v>103457.47000000003</v>
      </c>
    </row>
    <row r="203" spans="1:10" hidden="1">
      <c r="A203">
        <v>202</v>
      </c>
      <c r="B203">
        <v>97</v>
      </c>
      <c r="C203" t="s">
        <v>8</v>
      </c>
      <c r="D203" s="1">
        <v>45437</v>
      </c>
      <c r="E203" t="s">
        <v>26</v>
      </c>
      <c r="F203" t="s">
        <v>21</v>
      </c>
      <c r="G203" t="s">
        <v>16</v>
      </c>
      <c r="H203">
        <v>102.88</v>
      </c>
      <c r="I203" t="str">
        <f t="shared" si="6"/>
        <v>May/2024</v>
      </c>
      <c r="J203">
        <f t="shared" si="7"/>
        <v>103560.35000000003</v>
      </c>
    </row>
    <row r="204" spans="1:10" hidden="1">
      <c r="A204">
        <v>203</v>
      </c>
      <c r="B204">
        <v>22</v>
      </c>
      <c r="C204" t="s">
        <v>8</v>
      </c>
      <c r="D204" s="1">
        <v>45387</v>
      </c>
      <c r="E204" t="s">
        <v>9</v>
      </c>
      <c r="F204" t="s">
        <v>10</v>
      </c>
      <c r="G204" t="s">
        <v>20</v>
      </c>
      <c r="H204">
        <v>269.04000000000002</v>
      </c>
      <c r="I204" t="str">
        <f t="shared" si="6"/>
        <v>Apr/2024</v>
      </c>
      <c r="J204">
        <f t="shared" si="7"/>
        <v>103829.39000000003</v>
      </c>
    </row>
    <row r="205" spans="1:10" hidden="1">
      <c r="A205">
        <v>204</v>
      </c>
      <c r="B205">
        <v>82</v>
      </c>
      <c r="C205" t="s">
        <v>12</v>
      </c>
      <c r="D205" s="1">
        <v>45311</v>
      </c>
      <c r="E205" t="s">
        <v>26</v>
      </c>
      <c r="F205" t="s">
        <v>21</v>
      </c>
      <c r="G205" t="s">
        <v>11</v>
      </c>
      <c r="H205">
        <v>257.33</v>
      </c>
      <c r="I205" t="str">
        <f t="shared" si="6"/>
        <v>Jan/2024</v>
      </c>
      <c r="J205">
        <f t="shared" si="7"/>
        <v>104086.72000000003</v>
      </c>
    </row>
    <row r="206" spans="1:10" hidden="1">
      <c r="A206">
        <v>205</v>
      </c>
      <c r="B206">
        <v>17</v>
      </c>
      <c r="C206" t="s">
        <v>8</v>
      </c>
      <c r="D206" s="1">
        <v>45440</v>
      </c>
      <c r="E206" t="s">
        <v>9</v>
      </c>
      <c r="F206" t="s">
        <v>18</v>
      </c>
      <c r="G206" t="s">
        <v>16</v>
      </c>
      <c r="H206">
        <v>824.37</v>
      </c>
      <c r="I206" t="str">
        <f t="shared" si="6"/>
        <v>May/2024</v>
      </c>
      <c r="J206">
        <f t="shared" si="7"/>
        <v>104911.09000000003</v>
      </c>
    </row>
    <row r="207" spans="1:10" hidden="1">
      <c r="A207">
        <v>206</v>
      </c>
      <c r="B207">
        <v>59</v>
      </c>
      <c r="C207" t="s">
        <v>12</v>
      </c>
      <c r="D207" s="1">
        <v>45441</v>
      </c>
      <c r="E207" t="s">
        <v>26</v>
      </c>
      <c r="F207" t="s">
        <v>10</v>
      </c>
      <c r="G207" t="s">
        <v>20</v>
      </c>
      <c r="H207">
        <v>303.58999999999997</v>
      </c>
      <c r="I207" t="str">
        <f t="shared" si="6"/>
        <v>May/2024</v>
      </c>
      <c r="J207">
        <f t="shared" si="7"/>
        <v>105214.68000000002</v>
      </c>
    </row>
    <row r="208" spans="1:10" hidden="1">
      <c r="A208">
        <v>207</v>
      </c>
      <c r="B208">
        <v>69</v>
      </c>
      <c r="C208" t="s">
        <v>12</v>
      </c>
      <c r="D208" s="1">
        <v>45404</v>
      </c>
      <c r="E208" t="s">
        <v>15</v>
      </c>
      <c r="F208" t="s">
        <v>18</v>
      </c>
      <c r="G208" t="s">
        <v>16</v>
      </c>
      <c r="H208">
        <v>793.3</v>
      </c>
      <c r="I208" t="str">
        <f t="shared" si="6"/>
        <v>Apr/2024</v>
      </c>
      <c r="J208">
        <f t="shared" si="7"/>
        <v>106007.98000000003</v>
      </c>
    </row>
    <row r="209" spans="1:10" hidden="1">
      <c r="A209">
        <v>208</v>
      </c>
      <c r="B209">
        <v>22</v>
      </c>
      <c r="C209" t="s">
        <v>12</v>
      </c>
      <c r="D209" s="1">
        <v>45322</v>
      </c>
      <c r="E209" t="s">
        <v>26</v>
      </c>
      <c r="F209" t="s">
        <v>18</v>
      </c>
      <c r="G209" t="s">
        <v>20</v>
      </c>
      <c r="H209">
        <v>929.05</v>
      </c>
      <c r="I209" t="str">
        <f t="shared" si="6"/>
        <v>Jan/2024</v>
      </c>
      <c r="J209">
        <f t="shared" si="7"/>
        <v>106937.03000000003</v>
      </c>
    </row>
    <row r="210" spans="1:10" hidden="1">
      <c r="A210">
        <v>209</v>
      </c>
      <c r="B210">
        <v>76</v>
      </c>
      <c r="C210" t="s">
        <v>12</v>
      </c>
      <c r="D210" s="1">
        <v>45432</v>
      </c>
      <c r="E210" t="s">
        <v>15</v>
      </c>
      <c r="F210" t="s">
        <v>21</v>
      </c>
      <c r="G210" t="s">
        <v>20</v>
      </c>
      <c r="H210">
        <v>473.36</v>
      </c>
      <c r="I210" t="str">
        <f t="shared" si="6"/>
        <v>May/2024</v>
      </c>
      <c r="J210">
        <f t="shared" si="7"/>
        <v>107410.39000000003</v>
      </c>
    </row>
    <row r="211" spans="1:10" hidden="1">
      <c r="A211">
        <v>210</v>
      </c>
      <c r="B211">
        <v>59</v>
      </c>
      <c r="C211" t="s">
        <v>12</v>
      </c>
      <c r="D211" s="1">
        <v>45316</v>
      </c>
      <c r="E211" t="s">
        <v>26</v>
      </c>
      <c r="F211" t="s">
        <v>10</v>
      </c>
      <c r="G211" t="s">
        <v>16</v>
      </c>
      <c r="H211">
        <v>478.17</v>
      </c>
      <c r="I211" t="str">
        <f t="shared" si="6"/>
        <v>Jan/2024</v>
      </c>
      <c r="J211">
        <f t="shared" si="7"/>
        <v>107888.56000000003</v>
      </c>
    </row>
    <row r="212" spans="1:10" hidden="1">
      <c r="A212">
        <v>211</v>
      </c>
      <c r="B212">
        <v>61</v>
      </c>
      <c r="C212" t="s">
        <v>8</v>
      </c>
      <c r="D212" s="1">
        <v>45363</v>
      </c>
      <c r="E212" t="s">
        <v>9</v>
      </c>
      <c r="F212" t="s">
        <v>18</v>
      </c>
      <c r="G212" t="s">
        <v>20</v>
      </c>
      <c r="H212">
        <v>430.49</v>
      </c>
      <c r="I212" t="str">
        <f t="shared" si="6"/>
        <v>Mar/2024</v>
      </c>
      <c r="J212">
        <f t="shared" si="7"/>
        <v>108319.05000000003</v>
      </c>
    </row>
    <row r="213" spans="1:10" hidden="1">
      <c r="A213">
        <v>212</v>
      </c>
      <c r="B213">
        <v>69</v>
      </c>
      <c r="C213" t="s">
        <v>12</v>
      </c>
      <c r="D213" s="1">
        <v>45419</v>
      </c>
      <c r="E213" t="s">
        <v>26</v>
      </c>
      <c r="F213" t="s">
        <v>21</v>
      </c>
      <c r="G213" t="s">
        <v>16</v>
      </c>
      <c r="H213">
        <v>460.93</v>
      </c>
      <c r="I213" t="str">
        <f t="shared" si="6"/>
        <v>May/2024</v>
      </c>
      <c r="J213">
        <f t="shared" si="7"/>
        <v>108779.98000000003</v>
      </c>
    </row>
    <row r="214" spans="1:10" hidden="1">
      <c r="A214">
        <v>213</v>
      </c>
      <c r="B214">
        <v>75</v>
      </c>
      <c r="C214" t="s">
        <v>19</v>
      </c>
      <c r="D214" s="1">
        <v>45321</v>
      </c>
      <c r="E214" t="s">
        <v>15</v>
      </c>
      <c r="F214" t="s">
        <v>21</v>
      </c>
      <c r="G214" t="s">
        <v>11</v>
      </c>
      <c r="H214">
        <v>917.3</v>
      </c>
      <c r="I214" t="str">
        <f t="shared" si="6"/>
        <v>Jan/2024</v>
      </c>
      <c r="J214">
        <f t="shared" si="7"/>
        <v>109697.28000000003</v>
      </c>
    </row>
    <row r="215" spans="1:10" hidden="1">
      <c r="A215">
        <v>214</v>
      </c>
      <c r="B215">
        <v>42</v>
      </c>
      <c r="C215" t="s">
        <v>8</v>
      </c>
      <c r="D215" s="1">
        <v>45293</v>
      </c>
      <c r="E215" t="s">
        <v>26</v>
      </c>
      <c r="F215" t="s">
        <v>10</v>
      </c>
      <c r="G215" t="s">
        <v>20</v>
      </c>
      <c r="H215">
        <v>520.21</v>
      </c>
      <c r="I215" t="str">
        <f t="shared" si="6"/>
        <v>Jan/2024</v>
      </c>
      <c r="J215">
        <f t="shared" si="7"/>
        <v>110217.49000000003</v>
      </c>
    </row>
    <row r="216" spans="1:10" hidden="1">
      <c r="A216">
        <v>215</v>
      </c>
      <c r="B216">
        <v>38</v>
      </c>
      <c r="C216" t="s">
        <v>12</v>
      </c>
      <c r="D216" s="1">
        <v>45298</v>
      </c>
      <c r="E216" t="s">
        <v>15</v>
      </c>
      <c r="F216" t="s">
        <v>18</v>
      </c>
      <c r="G216" t="s">
        <v>20</v>
      </c>
      <c r="H216">
        <v>575.58000000000004</v>
      </c>
      <c r="I216" t="str">
        <f t="shared" si="6"/>
        <v>Jan/2024</v>
      </c>
      <c r="J216">
        <f t="shared" si="7"/>
        <v>110793.07000000004</v>
      </c>
    </row>
    <row r="217" spans="1:10" hidden="1">
      <c r="A217">
        <v>216</v>
      </c>
      <c r="B217">
        <v>5</v>
      </c>
      <c r="C217" t="s">
        <v>8</v>
      </c>
      <c r="D217" s="1">
        <v>45304</v>
      </c>
      <c r="E217" t="s">
        <v>15</v>
      </c>
      <c r="F217" t="s">
        <v>21</v>
      </c>
      <c r="G217" t="s">
        <v>11</v>
      </c>
      <c r="H217">
        <v>296.41000000000003</v>
      </c>
      <c r="I217" t="str">
        <f t="shared" si="6"/>
        <v>Jan/2024</v>
      </c>
      <c r="J217">
        <f t="shared" si="7"/>
        <v>111089.48000000004</v>
      </c>
    </row>
    <row r="218" spans="1:10" hidden="1">
      <c r="A218">
        <v>217</v>
      </c>
      <c r="B218">
        <v>10</v>
      </c>
      <c r="C218" t="s">
        <v>19</v>
      </c>
      <c r="D218" s="1">
        <v>45440</v>
      </c>
      <c r="E218" t="s">
        <v>26</v>
      </c>
      <c r="F218" t="s">
        <v>18</v>
      </c>
      <c r="G218" t="s">
        <v>16</v>
      </c>
      <c r="H218">
        <v>622.98</v>
      </c>
      <c r="I218" t="str">
        <f t="shared" si="6"/>
        <v>May/2024</v>
      </c>
      <c r="J218">
        <f t="shared" si="7"/>
        <v>111712.46000000004</v>
      </c>
    </row>
    <row r="219" spans="1:10" hidden="1">
      <c r="A219">
        <v>218</v>
      </c>
      <c r="B219">
        <v>21</v>
      </c>
      <c r="C219" t="s">
        <v>12</v>
      </c>
      <c r="D219" s="1">
        <v>45422</v>
      </c>
      <c r="E219" t="s">
        <v>15</v>
      </c>
      <c r="F219" t="s">
        <v>18</v>
      </c>
      <c r="G219" t="s">
        <v>11</v>
      </c>
      <c r="H219">
        <v>484.08</v>
      </c>
      <c r="I219" t="str">
        <f t="shared" si="6"/>
        <v>May/2024</v>
      </c>
      <c r="J219">
        <f t="shared" si="7"/>
        <v>112196.54000000004</v>
      </c>
    </row>
    <row r="220" spans="1:10" hidden="1">
      <c r="A220">
        <v>219</v>
      </c>
      <c r="B220">
        <v>92</v>
      </c>
      <c r="C220" t="s">
        <v>19</v>
      </c>
      <c r="D220" s="1">
        <v>45408</v>
      </c>
      <c r="E220" t="s">
        <v>9</v>
      </c>
      <c r="F220" t="s">
        <v>18</v>
      </c>
      <c r="G220" t="s">
        <v>20</v>
      </c>
      <c r="H220">
        <v>479.31</v>
      </c>
      <c r="I220" t="str">
        <f t="shared" si="6"/>
        <v>Apr/2024</v>
      </c>
      <c r="J220">
        <f t="shared" si="7"/>
        <v>112675.85000000003</v>
      </c>
    </row>
    <row r="221" spans="1:10" hidden="1">
      <c r="A221">
        <v>220</v>
      </c>
      <c r="B221">
        <v>29</v>
      </c>
      <c r="C221" t="s">
        <v>12</v>
      </c>
      <c r="D221" s="1">
        <v>45387</v>
      </c>
      <c r="E221" t="s">
        <v>26</v>
      </c>
      <c r="F221" t="s">
        <v>10</v>
      </c>
      <c r="G221" t="s">
        <v>20</v>
      </c>
      <c r="H221">
        <v>624.22</v>
      </c>
      <c r="I221" t="str">
        <f t="shared" si="6"/>
        <v>Apr/2024</v>
      </c>
      <c r="J221">
        <f t="shared" si="7"/>
        <v>113300.07000000004</v>
      </c>
    </row>
    <row r="222" spans="1:10" hidden="1">
      <c r="A222">
        <v>221</v>
      </c>
      <c r="B222">
        <v>49</v>
      </c>
      <c r="C222" t="s">
        <v>12</v>
      </c>
      <c r="D222" s="1">
        <v>45454</v>
      </c>
      <c r="E222" t="s">
        <v>9</v>
      </c>
      <c r="F222" t="s">
        <v>18</v>
      </c>
      <c r="G222" t="s">
        <v>20</v>
      </c>
      <c r="H222">
        <v>777.18</v>
      </c>
      <c r="I222" t="str">
        <f t="shared" si="6"/>
        <v>Jun/2024</v>
      </c>
      <c r="J222">
        <f t="shared" si="7"/>
        <v>114077.25000000003</v>
      </c>
    </row>
    <row r="223" spans="1:10" hidden="1">
      <c r="A223">
        <v>222</v>
      </c>
      <c r="B223">
        <v>28</v>
      </c>
      <c r="C223" t="s">
        <v>12</v>
      </c>
      <c r="D223" s="1">
        <v>45334</v>
      </c>
      <c r="E223" t="s">
        <v>9</v>
      </c>
      <c r="F223" t="s">
        <v>18</v>
      </c>
      <c r="G223" t="s">
        <v>16</v>
      </c>
      <c r="H223">
        <v>842.93</v>
      </c>
      <c r="I223" t="str">
        <f t="shared" si="6"/>
        <v>Feb/2024</v>
      </c>
      <c r="J223">
        <f t="shared" si="7"/>
        <v>114920.18000000002</v>
      </c>
    </row>
    <row r="224" spans="1:10" hidden="1">
      <c r="A224">
        <v>223</v>
      </c>
      <c r="B224">
        <v>87</v>
      </c>
      <c r="C224" t="s">
        <v>19</v>
      </c>
      <c r="D224" s="1">
        <v>45317</v>
      </c>
      <c r="E224" t="s">
        <v>26</v>
      </c>
      <c r="F224" t="s">
        <v>18</v>
      </c>
      <c r="G224" t="s">
        <v>20</v>
      </c>
      <c r="H224">
        <v>974.99</v>
      </c>
      <c r="I224" t="str">
        <f t="shared" si="6"/>
        <v>Jan/2024</v>
      </c>
      <c r="J224">
        <f t="shared" si="7"/>
        <v>115895.17000000003</v>
      </c>
    </row>
    <row r="225" spans="1:10" hidden="1">
      <c r="A225">
        <v>224</v>
      </c>
      <c r="B225">
        <v>51</v>
      </c>
      <c r="C225" t="s">
        <v>12</v>
      </c>
      <c r="D225" s="1">
        <v>45406</v>
      </c>
      <c r="E225" t="s">
        <v>9</v>
      </c>
      <c r="F225" t="s">
        <v>18</v>
      </c>
      <c r="G225" t="s">
        <v>20</v>
      </c>
      <c r="H225">
        <v>989.81</v>
      </c>
      <c r="I225" t="str">
        <f t="shared" si="6"/>
        <v>Apr/2024</v>
      </c>
      <c r="J225">
        <f t="shared" si="7"/>
        <v>116884.98000000003</v>
      </c>
    </row>
    <row r="226" spans="1:10" hidden="1">
      <c r="A226">
        <v>225</v>
      </c>
      <c r="B226">
        <v>64</v>
      </c>
      <c r="C226" t="s">
        <v>8</v>
      </c>
      <c r="D226" s="1">
        <v>45405</v>
      </c>
      <c r="E226" t="s">
        <v>9</v>
      </c>
      <c r="F226" t="s">
        <v>21</v>
      </c>
      <c r="G226" t="s">
        <v>11</v>
      </c>
      <c r="H226">
        <v>484.04</v>
      </c>
      <c r="I226" t="str">
        <f t="shared" si="6"/>
        <v>Apr/2024</v>
      </c>
      <c r="J226">
        <f t="shared" si="7"/>
        <v>117369.02000000002</v>
      </c>
    </row>
    <row r="227" spans="1:10" hidden="1">
      <c r="A227">
        <v>226</v>
      </c>
      <c r="B227">
        <v>77</v>
      </c>
      <c r="C227" t="s">
        <v>19</v>
      </c>
      <c r="D227" s="1">
        <v>45447</v>
      </c>
      <c r="E227" t="s">
        <v>15</v>
      </c>
      <c r="F227" t="s">
        <v>10</v>
      </c>
      <c r="G227" t="s">
        <v>16</v>
      </c>
      <c r="H227">
        <v>38.39</v>
      </c>
      <c r="I227" t="str">
        <f t="shared" si="6"/>
        <v>Jun/2024</v>
      </c>
      <c r="J227">
        <f t="shared" si="7"/>
        <v>117407.41000000002</v>
      </c>
    </row>
    <row r="228" spans="1:10" hidden="1">
      <c r="A228">
        <v>227</v>
      </c>
      <c r="B228">
        <v>23</v>
      </c>
      <c r="C228" t="s">
        <v>12</v>
      </c>
      <c r="D228" s="1">
        <v>45466</v>
      </c>
      <c r="E228" t="s">
        <v>26</v>
      </c>
      <c r="F228" t="s">
        <v>10</v>
      </c>
      <c r="G228" t="s">
        <v>11</v>
      </c>
      <c r="H228">
        <v>334.53</v>
      </c>
      <c r="I228" t="str">
        <f t="shared" si="6"/>
        <v>Jun/2024</v>
      </c>
      <c r="J228">
        <f t="shared" si="7"/>
        <v>117741.94000000002</v>
      </c>
    </row>
    <row r="229" spans="1:10" hidden="1">
      <c r="A229">
        <v>228</v>
      </c>
      <c r="B229">
        <v>89</v>
      </c>
      <c r="C229" t="s">
        <v>12</v>
      </c>
      <c r="D229" s="1">
        <v>45326</v>
      </c>
      <c r="E229" t="s">
        <v>9</v>
      </c>
      <c r="F229" t="s">
        <v>21</v>
      </c>
      <c r="G229" t="s">
        <v>20</v>
      </c>
      <c r="H229">
        <v>580.74</v>
      </c>
      <c r="I229" t="str">
        <f t="shared" si="6"/>
        <v>Feb/2024</v>
      </c>
      <c r="J229">
        <f t="shared" si="7"/>
        <v>118322.68000000002</v>
      </c>
    </row>
    <row r="230" spans="1:10" hidden="1">
      <c r="A230">
        <v>229</v>
      </c>
      <c r="B230">
        <v>30</v>
      </c>
      <c r="C230" t="s">
        <v>12</v>
      </c>
      <c r="D230" s="1">
        <v>45375</v>
      </c>
      <c r="E230" t="s">
        <v>26</v>
      </c>
      <c r="F230" t="s">
        <v>18</v>
      </c>
      <c r="G230" t="s">
        <v>20</v>
      </c>
      <c r="H230">
        <v>638.28</v>
      </c>
      <c r="I230" t="str">
        <f t="shared" si="6"/>
        <v>Mar/2024</v>
      </c>
      <c r="J230">
        <f t="shared" si="7"/>
        <v>118960.96000000002</v>
      </c>
    </row>
    <row r="231" spans="1:10" hidden="1">
      <c r="A231">
        <v>230</v>
      </c>
      <c r="B231">
        <v>88</v>
      </c>
      <c r="C231" t="s">
        <v>8</v>
      </c>
      <c r="D231" s="1">
        <v>45319</v>
      </c>
      <c r="E231" t="s">
        <v>9</v>
      </c>
      <c r="F231" t="s">
        <v>10</v>
      </c>
      <c r="G231" t="s">
        <v>20</v>
      </c>
      <c r="H231">
        <v>727.86</v>
      </c>
      <c r="I231" t="str">
        <f t="shared" si="6"/>
        <v>Jan/2024</v>
      </c>
      <c r="J231">
        <f t="shared" si="7"/>
        <v>119688.82000000002</v>
      </c>
    </row>
    <row r="232" spans="1:10" hidden="1">
      <c r="A232">
        <v>231</v>
      </c>
      <c r="B232">
        <v>47</v>
      </c>
      <c r="C232" t="s">
        <v>8</v>
      </c>
      <c r="D232" s="1">
        <v>45362</v>
      </c>
      <c r="E232" t="s">
        <v>15</v>
      </c>
      <c r="F232" t="s">
        <v>21</v>
      </c>
      <c r="G232" t="s">
        <v>20</v>
      </c>
      <c r="H232">
        <v>117.74</v>
      </c>
      <c r="I232" t="str">
        <f t="shared" si="6"/>
        <v>Mar/2024</v>
      </c>
      <c r="J232">
        <f t="shared" si="7"/>
        <v>119806.56000000003</v>
      </c>
    </row>
    <row r="233" spans="1:10" hidden="1">
      <c r="A233">
        <v>232</v>
      </c>
      <c r="B233">
        <v>74</v>
      </c>
      <c r="C233" t="s">
        <v>12</v>
      </c>
      <c r="D233" s="1">
        <v>45437</v>
      </c>
      <c r="E233" t="s">
        <v>9</v>
      </c>
      <c r="F233" t="s">
        <v>18</v>
      </c>
      <c r="G233" t="s">
        <v>16</v>
      </c>
      <c r="H233">
        <v>891.94</v>
      </c>
      <c r="I233" t="str">
        <f t="shared" si="6"/>
        <v>May/2024</v>
      </c>
      <c r="J233">
        <f t="shared" si="7"/>
        <v>120698.50000000003</v>
      </c>
    </row>
    <row r="234" spans="1:10" hidden="1">
      <c r="A234">
        <v>233</v>
      </c>
      <c r="B234">
        <v>53</v>
      </c>
      <c r="C234" t="s">
        <v>8</v>
      </c>
      <c r="D234" s="1">
        <v>45368</v>
      </c>
      <c r="E234" t="s">
        <v>26</v>
      </c>
      <c r="F234" t="s">
        <v>10</v>
      </c>
      <c r="G234" t="s">
        <v>11</v>
      </c>
      <c r="H234">
        <v>440.58</v>
      </c>
      <c r="I234" t="str">
        <f t="shared" si="6"/>
        <v>Mar/2024</v>
      </c>
      <c r="J234">
        <f t="shared" si="7"/>
        <v>121139.08000000003</v>
      </c>
    </row>
    <row r="235" spans="1:10" hidden="1">
      <c r="A235">
        <v>234</v>
      </c>
      <c r="B235">
        <v>39</v>
      </c>
      <c r="C235" t="s">
        <v>8</v>
      </c>
      <c r="D235" s="1">
        <v>45339</v>
      </c>
      <c r="E235" t="s">
        <v>15</v>
      </c>
      <c r="F235" t="s">
        <v>10</v>
      </c>
      <c r="G235" t="s">
        <v>16</v>
      </c>
      <c r="H235">
        <v>310.95999999999998</v>
      </c>
      <c r="I235" t="str">
        <f t="shared" si="6"/>
        <v>Feb/2024</v>
      </c>
      <c r="J235">
        <f t="shared" si="7"/>
        <v>121450.04000000004</v>
      </c>
    </row>
    <row r="236" spans="1:10" hidden="1">
      <c r="A236">
        <v>235</v>
      </c>
      <c r="B236">
        <v>4</v>
      </c>
      <c r="C236" t="s">
        <v>19</v>
      </c>
      <c r="D236" s="1">
        <v>45319</v>
      </c>
      <c r="E236" t="s">
        <v>15</v>
      </c>
      <c r="F236" t="s">
        <v>18</v>
      </c>
      <c r="G236" t="s">
        <v>20</v>
      </c>
      <c r="H236">
        <v>430.74</v>
      </c>
      <c r="I236" t="str">
        <f t="shared" si="6"/>
        <v>Jan/2024</v>
      </c>
      <c r="J236">
        <f t="shared" si="7"/>
        <v>121880.78000000004</v>
      </c>
    </row>
    <row r="237" spans="1:10" hidden="1">
      <c r="A237">
        <v>236</v>
      </c>
      <c r="B237">
        <v>29</v>
      </c>
      <c r="C237" t="s">
        <v>19</v>
      </c>
      <c r="D237" s="1">
        <v>45417</v>
      </c>
      <c r="E237" t="s">
        <v>26</v>
      </c>
      <c r="F237" t="s">
        <v>10</v>
      </c>
      <c r="G237" t="s">
        <v>16</v>
      </c>
      <c r="H237">
        <v>47.99</v>
      </c>
      <c r="I237" t="str">
        <f t="shared" si="6"/>
        <v>May/2024</v>
      </c>
      <c r="J237">
        <f t="shared" si="7"/>
        <v>121928.77000000005</v>
      </c>
    </row>
    <row r="238" spans="1:10" hidden="1">
      <c r="A238">
        <v>237</v>
      </c>
      <c r="B238">
        <v>31</v>
      </c>
      <c r="C238" t="s">
        <v>19</v>
      </c>
      <c r="D238" s="1">
        <v>45473</v>
      </c>
      <c r="E238" t="s">
        <v>9</v>
      </c>
      <c r="F238" t="s">
        <v>21</v>
      </c>
      <c r="G238" t="s">
        <v>11</v>
      </c>
      <c r="H238">
        <v>728.13</v>
      </c>
      <c r="I238" t="str">
        <f t="shared" si="6"/>
        <v>Jun/2024</v>
      </c>
      <c r="J238">
        <f t="shared" si="7"/>
        <v>122656.90000000005</v>
      </c>
    </row>
    <row r="239" spans="1:10" hidden="1">
      <c r="A239">
        <v>238</v>
      </c>
      <c r="B239">
        <v>75</v>
      </c>
      <c r="C239" t="s">
        <v>8</v>
      </c>
      <c r="D239" s="1">
        <v>45328</v>
      </c>
      <c r="E239" t="s">
        <v>9</v>
      </c>
      <c r="F239" t="s">
        <v>18</v>
      </c>
      <c r="G239" t="s">
        <v>11</v>
      </c>
      <c r="H239">
        <v>890.35</v>
      </c>
      <c r="I239" t="str">
        <f t="shared" si="6"/>
        <v>Feb/2024</v>
      </c>
      <c r="J239">
        <f t="shared" si="7"/>
        <v>123547.25000000006</v>
      </c>
    </row>
    <row r="240" spans="1:10" hidden="1">
      <c r="A240">
        <v>239</v>
      </c>
      <c r="B240">
        <v>88</v>
      </c>
      <c r="C240" t="s">
        <v>12</v>
      </c>
      <c r="D240" s="1">
        <v>45363</v>
      </c>
      <c r="E240" t="s">
        <v>26</v>
      </c>
      <c r="F240" t="s">
        <v>10</v>
      </c>
      <c r="G240" t="s">
        <v>20</v>
      </c>
      <c r="H240">
        <v>356.55</v>
      </c>
      <c r="I240" t="str">
        <f t="shared" si="6"/>
        <v>Mar/2024</v>
      </c>
      <c r="J240">
        <f t="shared" si="7"/>
        <v>123903.80000000006</v>
      </c>
    </row>
    <row r="241" spans="1:10" hidden="1">
      <c r="A241">
        <v>240</v>
      </c>
      <c r="B241">
        <v>14</v>
      </c>
      <c r="C241" t="s">
        <v>8</v>
      </c>
      <c r="D241" s="1">
        <v>45416</v>
      </c>
      <c r="E241" t="s">
        <v>15</v>
      </c>
      <c r="F241" t="s">
        <v>21</v>
      </c>
      <c r="G241" t="s">
        <v>11</v>
      </c>
      <c r="H241">
        <v>271.51</v>
      </c>
      <c r="I241" t="str">
        <f t="shared" si="6"/>
        <v>May/2024</v>
      </c>
      <c r="J241">
        <f t="shared" si="7"/>
        <v>124175.31000000006</v>
      </c>
    </row>
    <row r="242" spans="1:10" hidden="1">
      <c r="A242">
        <v>241</v>
      </c>
      <c r="B242">
        <v>80</v>
      </c>
      <c r="C242" t="s">
        <v>8</v>
      </c>
      <c r="D242" s="1">
        <v>45370</v>
      </c>
      <c r="E242" t="s">
        <v>26</v>
      </c>
      <c r="F242" t="s">
        <v>10</v>
      </c>
      <c r="G242" t="s">
        <v>20</v>
      </c>
      <c r="H242">
        <v>288.31</v>
      </c>
      <c r="I242" t="str">
        <f t="shared" si="6"/>
        <v>Mar/2024</v>
      </c>
      <c r="J242">
        <f t="shared" si="7"/>
        <v>124463.62000000005</v>
      </c>
    </row>
    <row r="243" spans="1:10" hidden="1">
      <c r="A243">
        <v>242</v>
      </c>
      <c r="B243">
        <v>13</v>
      </c>
      <c r="C243" t="s">
        <v>12</v>
      </c>
      <c r="D243" s="1">
        <v>45330</v>
      </c>
      <c r="E243" t="s">
        <v>9</v>
      </c>
      <c r="F243" t="s">
        <v>18</v>
      </c>
      <c r="G243" t="s">
        <v>16</v>
      </c>
      <c r="H243">
        <v>663.49</v>
      </c>
      <c r="I243" t="str">
        <f t="shared" si="6"/>
        <v>Feb/2024</v>
      </c>
      <c r="J243">
        <f t="shared" si="7"/>
        <v>125127.11000000006</v>
      </c>
    </row>
    <row r="244" spans="1:10" hidden="1">
      <c r="A244">
        <v>243</v>
      </c>
      <c r="B244">
        <v>5</v>
      </c>
      <c r="C244" t="s">
        <v>12</v>
      </c>
      <c r="D244" s="1">
        <v>45461</v>
      </c>
      <c r="E244" t="s">
        <v>15</v>
      </c>
      <c r="F244" t="s">
        <v>21</v>
      </c>
      <c r="G244" t="s">
        <v>20</v>
      </c>
      <c r="H244">
        <v>711.77</v>
      </c>
      <c r="I244" t="str">
        <f t="shared" si="6"/>
        <v>Jun/2024</v>
      </c>
      <c r="J244">
        <f t="shared" si="7"/>
        <v>125838.88000000006</v>
      </c>
    </row>
    <row r="245" spans="1:10" hidden="1">
      <c r="A245">
        <v>244</v>
      </c>
      <c r="B245">
        <v>67</v>
      </c>
      <c r="C245" t="s">
        <v>8</v>
      </c>
      <c r="D245" s="1">
        <v>45447</v>
      </c>
      <c r="E245" t="s">
        <v>26</v>
      </c>
      <c r="F245" t="s">
        <v>21</v>
      </c>
      <c r="G245" t="s">
        <v>11</v>
      </c>
      <c r="H245">
        <v>822.12</v>
      </c>
      <c r="I245" t="str">
        <f t="shared" si="6"/>
        <v>Jun/2024</v>
      </c>
      <c r="J245">
        <f t="shared" si="7"/>
        <v>126661.00000000006</v>
      </c>
    </row>
    <row r="246" spans="1:10" hidden="1">
      <c r="A246">
        <v>245</v>
      </c>
      <c r="B246">
        <v>35</v>
      </c>
      <c r="C246" t="s">
        <v>19</v>
      </c>
      <c r="D246" s="1">
        <v>45439</v>
      </c>
      <c r="E246" t="s">
        <v>9</v>
      </c>
      <c r="F246" t="s">
        <v>18</v>
      </c>
      <c r="G246" t="s">
        <v>11</v>
      </c>
      <c r="H246">
        <v>889.52</v>
      </c>
      <c r="I246" t="str">
        <f t="shared" si="6"/>
        <v>May/2024</v>
      </c>
      <c r="J246">
        <f t="shared" si="7"/>
        <v>127550.52000000006</v>
      </c>
    </row>
    <row r="247" spans="1:10">
      <c r="A247">
        <v>246</v>
      </c>
      <c r="B247">
        <v>81</v>
      </c>
      <c r="C247" t="s">
        <v>8</v>
      </c>
      <c r="D247" s="1">
        <v>45381</v>
      </c>
      <c r="E247" t="s">
        <v>26</v>
      </c>
      <c r="F247" t="s">
        <v>10</v>
      </c>
      <c r="G247" t="s">
        <v>16</v>
      </c>
      <c r="H247">
        <v>471.55</v>
      </c>
      <c r="I247" t="str">
        <f t="shared" si="6"/>
        <v>Mar/2024</v>
      </c>
      <c r="J247">
        <f t="shared" si="7"/>
        <v>128022.07000000007</v>
      </c>
    </row>
    <row r="248" spans="1:10" hidden="1">
      <c r="A248">
        <v>247</v>
      </c>
      <c r="B248">
        <v>24</v>
      </c>
      <c r="C248" t="s">
        <v>19</v>
      </c>
      <c r="D248" s="1">
        <v>45404</v>
      </c>
      <c r="E248" t="s">
        <v>15</v>
      </c>
      <c r="F248" t="s">
        <v>18</v>
      </c>
      <c r="G248" t="s">
        <v>16</v>
      </c>
      <c r="H248">
        <v>136.69</v>
      </c>
      <c r="I248" t="str">
        <f t="shared" si="6"/>
        <v>Apr/2024</v>
      </c>
      <c r="J248">
        <f t="shared" si="7"/>
        <v>128158.76000000007</v>
      </c>
    </row>
    <row r="249" spans="1:10" hidden="1">
      <c r="A249">
        <v>248</v>
      </c>
      <c r="B249">
        <v>65</v>
      </c>
      <c r="C249" t="s">
        <v>8</v>
      </c>
      <c r="D249" s="1">
        <v>45378</v>
      </c>
      <c r="E249" t="s">
        <v>9</v>
      </c>
      <c r="F249" t="s">
        <v>10</v>
      </c>
      <c r="G249" t="s">
        <v>16</v>
      </c>
      <c r="H249">
        <v>148.61000000000001</v>
      </c>
      <c r="I249" t="str">
        <f t="shared" si="6"/>
        <v>Mar/2024</v>
      </c>
      <c r="J249">
        <f t="shared" si="7"/>
        <v>128307.37000000007</v>
      </c>
    </row>
    <row r="250" spans="1:10" hidden="1">
      <c r="A250">
        <v>249</v>
      </c>
      <c r="B250">
        <v>13</v>
      </c>
      <c r="C250" t="s">
        <v>8</v>
      </c>
      <c r="D250" s="1">
        <v>45428</v>
      </c>
      <c r="E250" t="s">
        <v>26</v>
      </c>
      <c r="F250" t="s">
        <v>21</v>
      </c>
      <c r="G250" t="s">
        <v>20</v>
      </c>
      <c r="H250">
        <v>768.39</v>
      </c>
      <c r="I250" t="str">
        <f t="shared" si="6"/>
        <v>May/2024</v>
      </c>
      <c r="J250">
        <f t="shared" si="7"/>
        <v>129075.76000000007</v>
      </c>
    </row>
    <row r="251" spans="1:10" hidden="1">
      <c r="A251">
        <v>250</v>
      </c>
      <c r="B251">
        <v>65</v>
      </c>
      <c r="C251" t="s">
        <v>19</v>
      </c>
      <c r="D251" s="1">
        <v>45450</v>
      </c>
      <c r="E251" t="s">
        <v>9</v>
      </c>
      <c r="F251" t="s">
        <v>21</v>
      </c>
      <c r="G251" t="s">
        <v>20</v>
      </c>
      <c r="H251">
        <v>545.52</v>
      </c>
      <c r="I251" t="str">
        <f t="shared" si="6"/>
        <v>Jun/2024</v>
      </c>
      <c r="J251">
        <f t="shared" si="7"/>
        <v>129621.28000000007</v>
      </c>
    </row>
    <row r="252" spans="1:10" hidden="1">
      <c r="A252">
        <v>251</v>
      </c>
      <c r="B252">
        <v>33</v>
      </c>
      <c r="C252" t="s">
        <v>8</v>
      </c>
      <c r="D252" s="1">
        <v>45320</v>
      </c>
      <c r="E252" t="s">
        <v>9</v>
      </c>
      <c r="F252" t="s">
        <v>21</v>
      </c>
      <c r="G252" t="s">
        <v>16</v>
      </c>
      <c r="H252">
        <v>978.58</v>
      </c>
      <c r="I252" t="str">
        <f t="shared" si="6"/>
        <v>Jan/2024</v>
      </c>
      <c r="J252">
        <f t="shared" si="7"/>
        <v>130599.86000000007</v>
      </c>
    </row>
    <row r="253" spans="1:10" hidden="1">
      <c r="A253">
        <v>252</v>
      </c>
      <c r="B253">
        <v>92</v>
      </c>
      <c r="C253" t="s">
        <v>19</v>
      </c>
      <c r="D253" s="1">
        <v>45428</v>
      </c>
      <c r="E253" t="s">
        <v>15</v>
      </c>
      <c r="F253" t="s">
        <v>18</v>
      </c>
      <c r="G253" t="s">
        <v>11</v>
      </c>
      <c r="H253">
        <v>62.59</v>
      </c>
      <c r="I253" t="str">
        <f t="shared" si="6"/>
        <v>May/2024</v>
      </c>
      <c r="J253">
        <f t="shared" si="7"/>
        <v>130662.45000000007</v>
      </c>
    </row>
    <row r="254" spans="1:10" hidden="1">
      <c r="A254">
        <v>253</v>
      </c>
      <c r="B254">
        <v>25</v>
      </c>
      <c r="C254" t="s">
        <v>12</v>
      </c>
      <c r="D254" s="1">
        <v>45413</v>
      </c>
      <c r="E254" t="s">
        <v>9</v>
      </c>
      <c r="F254" t="s">
        <v>10</v>
      </c>
      <c r="G254" t="s">
        <v>16</v>
      </c>
      <c r="H254">
        <v>146.53</v>
      </c>
      <c r="I254" t="str">
        <f t="shared" si="6"/>
        <v>May/2024</v>
      </c>
      <c r="J254">
        <f t="shared" si="7"/>
        <v>130808.98000000007</v>
      </c>
    </row>
    <row r="255" spans="1:10" hidden="1">
      <c r="A255">
        <v>254</v>
      </c>
      <c r="B255">
        <v>33</v>
      </c>
      <c r="C255" t="s">
        <v>12</v>
      </c>
      <c r="D255" s="1">
        <v>45414</v>
      </c>
      <c r="E255" t="s">
        <v>26</v>
      </c>
      <c r="F255" t="s">
        <v>10</v>
      </c>
      <c r="G255" t="s">
        <v>16</v>
      </c>
      <c r="H255">
        <v>168.3</v>
      </c>
      <c r="I255" t="str">
        <f t="shared" si="6"/>
        <v>May/2024</v>
      </c>
      <c r="J255">
        <f t="shared" si="7"/>
        <v>130977.28000000007</v>
      </c>
    </row>
    <row r="256" spans="1:10" hidden="1">
      <c r="A256">
        <v>255</v>
      </c>
      <c r="B256">
        <v>63</v>
      </c>
      <c r="C256" t="s">
        <v>19</v>
      </c>
      <c r="D256" s="1">
        <v>45293</v>
      </c>
      <c r="E256" t="s">
        <v>15</v>
      </c>
      <c r="F256" t="s">
        <v>18</v>
      </c>
      <c r="G256" t="s">
        <v>20</v>
      </c>
      <c r="H256">
        <v>225.2</v>
      </c>
      <c r="I256" t="str">
        <f t="shared" si="6"/>
        <v>Jan/2024</v>
      </c>
      <c r="J256">
        <f t="shared" si="7"/>
        <v>131202.48000000007</v>
      </c>
    </row>
    <row r="257" spans="1:10" hidden="1">
      <c r="A257">
        <v>256</v>
      </c>
      <c r="B257">
        <v>23</v>
      </c>
      <c r="C257" t="s">
        <v>8</v>
      </c>
      <c r="D257" s="1">
        <v>45461</v>
      </c>
      <c r="E257" t="s">
        <v>26</v>
      </c>
      <c r="F257" t="s">
        <v>10</v>
      </c>
      <c r="G257" t="s">
        <v>20</v>
      </c>
      <c r="H257">
        <v>875.37</v>
      </c>
      <c r="I257" t="str">
        <f t="shared" si="6"/>
        <v>Jun/2024</v>
      </c>
      <c r="J257">
        <f t="shared" si="7"/>
        <v>132077.85000000006</v>
      </c>
    </row>
    <row r="258" spans="1:10" hidden="1">
      <c r="A258">
        <v>257</v>
      </c>
      <c r="B258">
        <v>47</v>
      </c>
      <c r="C258" t="s">
        <v>8</v>
      </c>
      <c r="D258" s="1">
        <v>45446</v>
      </c>
      <c r="E258" t="s">
        <v>26</v>
      </c>
      <c r="F258" t="s">
        <v>10</v>
      </c>
      <c r="G258" t="s">
        <v>20</v>
      </c>
      <c r="H258">
        <v>772.77</v>
      </c>
      <c r="I258" t="str">
        <f t="shared" si="6"/>
        <v>Jun/2024</v>
      </c>
      <c r="J258">
        <f t="shared" si="7"/>
        <v>132850.62000000005</v>
      </c>
    </row>
    <row r="259" spans="1:10" hidden="1">
      <c r="A259">
        <v>258</v>
      </c>
      <c r="B259">
        <v>78</v>
      </c>
      <c r="C259" t="s">
        <v>8</v>
      </c>
      <c r="D259" s="1">
        <v>45419</v>
      </c>
      <c r="E259" t="s">
        <v>9</v>
      </c>
      <c r="F259" t="s">
        <v>10</v>
      </c>
      <c r="G259" t="s">
        <v>16</v>
      </c>
      <c r="H259">
        <v>617.12</v>
      </c>
      <c r="I259" t="str">
        <f t="shared" ref="I259:I322" si="8">TEXT(D259,"mmm/yyyy")</f>
        <v>May/2024</v>
      </c>
      <c r="J259">
        <f t="shared" si="7"/>
        <v>133467.74000000005</v>
      </c>
    </row>
    <row r="260" spans="1:10" hidden="1">
      <c r="A260">
        <v>259</v>
      </c>
      <c r="B260">
        <v>74</v>
      </c>
      <c r="C260" t="s">
        <v>12</v>
      </c>
      <c r="D260" s="1">
        <v>45371</v>
      </c>
      <c r="E260" t="s">
        <v>26</v>
      </c>
      <c r="F260" t="s">
        <v>21</v>
      </c>
      <c r="G260" t="s">
        <v>20</v>
      </c>
      <c r="H260">
        <v>900.61</v>
      </c>
      <c r="I260" t="str">
        <f t="shared" si="8"/>
        <v>Mar/2024</v>
      </c>
      <c r="J260">
        <f t="shared" ref="J260:J323" si="9">J259+H260</f>
        <v>134368.35000000003</v>
      </c>
    </row>
    <row r="261" spans="1:10" hidden="1">
      <c r="A261">
        <v>260</v>
      </c>
      <c r="B261">
        <v>70</v>
      </c>
      <c r="C261" t="s">
        <v>8</v>
      </c>
      <c r="D261" s="1">
        <v>45354</v>
      </c>
      <c r="E261" t="s">
        <v>26</v>
      </c>
      <c r="F261" t="s">
        <v>10</v>
      </c>
      <c r="G261" t="s">
        <v>20</v>
      </c>
      <c r="H261">
        <v>159.25</v>
      </c>
      <c r="I261" t="str">
        <f t="shared" si="8"/>
        <v>Mar/2024</v>
      </c>
      <c r="J261">
        <f t="shared" si="9"/>
        <v>134527.60000000003</v>
      </c>
    </row>
    <row r="262" spans="1:10" hidden="1">
      <c r="A262">
        <v>261</v>
      </c>
      <c r="B262">
        <v>59</v>
      </c>
      <c r="C262" t="s">
        <v>12</v>
      </c>
      <c r="D262" s="1">
        <v>45353</v>
      </c>
      <c r="E262" t="s">
        <v>15</v>
      </c>
      <c r="F262" t="s">
        <v>10</v>
      </c>
      <c r="G262" t="s">
        <v>20</v>
      </c>
      <c r="H262">
        <v>16.62</v>
      </c>
      <c r="I262" t="str">
        <f t="shared" si="8"/>
        <v>Mar/2024</v>
      </c>
      <c r="J262">
        <f t="shared" si="9"/>
        <v>134544.22000000003</v>
      </c>
    </row>
    <row r="263" spans="1:10" hidden="1">
      <c r="A263">
        <v>262</v>
      </c>
      <c r="B263">
        <v>77</v>
      </c>
      <c r="C263" t="s">
        <v>12</v>
      </c>
      <c r="D263" s="1">
        <v>45347</v>
      </c>
      <c r="E263" t="s">
        <v>26</v>
      </c>
      <c r="F263" t="s">
        <v>10</v>
      </c>
      <c r="G263" t="s">
        <v>16</v>
      </c>
      <c r="H263">
        <v>906.96</v>
      </c>
      <c r="I263" t="str">
        <f t="shared" si="8"/>
        <v>Feb/2024</v>
      </c>
      <c r="J263">
        <f t="shared" si="9"/>
        <v>135451.18000000002</v>
      </c>
    </row>
    <row r="264" spans="1:10" hidden="1">
      <c r="A264">
        <v>263</v>
      </c>
      <c r="B264">
        <v>96</v>
      </c>
      <c r="C264" t="s">
        <v>12</v>
      </c>
      <c r="D264" s="1">
        <v>45415</v>
      </c>
      <c r="E264" t="s">
        <v>15</v>
      </c>
      <c r="F264" t="s">
        <v>10</v>
      </c>
      <c r="G264" t="s">
        <v>20</v>
      </c>
      <c r="H264">
        <v>446.61</v>
      </c>
      <c r="I264" t="str">
        <f t="shared" si="8"/>
        <v>May/2024</v>
      </c>
      <c r="J264">
        <f t="shared" si="9"/>
        <v>135897.79</v>
      </c>
    </row>
    <row r="265" spans="1:10" hidden="1">
      <c r="A265">
        <v>264</v>
      </c>
      <c r="B265">
        <v>39</v>
      </c>
      <c r="C265" t="s">
        <v>8</v>
      </c>
      <c r="D265" s="1">
        <v>45320</v>
      </c>
      <c r="E265" t="s">
        <v>26</v>
      </c>
      <c r="F265" t="s">
        <v>10</v>
      </c>
      <c r="G265" t="s">
        <v>20</v>
      </c>
      <c r="H265">
        <v>406.06</v>
      </c>
      <c r="I265" t="str">
        <f t="shared" si="8"/>
        <v>Jan/2024</v>
      </c>
      <c r="J265">
        <f t="shared" si="9"/>
        <v>136303.85</v>
      </c>
    </row>
    <row r="266" spans="1:10" hidden="1">
      <c r="A266">
        <v>265</v>
      </c>
      <c r="B266">
        <v>54</v>
      </c>
      <c r="C266" t="s">
        <v>8</v>
      </c>
      <c r="D266" s="1">
        <v>45451</v>
      </c>
      <c r="E266" t="s">
        <v>9</v>
      </c>
      <c r="F266" t="s">
        <v>10</v>
      </c>
      <c r="G266" t="s">
        <v>16</v>
      </c>
      <c r="H266">
        <v>286.25</v>
      </c>
      <c r="I266" t="str">
        <f t="shared" si="8"/>
        <v>Jun/2024</v>
      </c>
      <c r="J266">
        <f t="shared" si="9"/>
        <v>136590.1</v>
      </c>
    </row>
    <row r="267" spans="1:10" hidden="1">
      <c r="A267">
        <v>266</v>
      </c>
      <c r="B267">
        <v>74</v>
      </c>
      <c r="C267" t="s">
        <v>8</v>
      </c>
      <c r="D267" s="1">
        <v>45465</v>
      </c>
      <c r="E267" t="s">
        <v>26</v>
      </c>
      <c r="F267" t="s">
        <v>18</v>
      </c>
      <c r="G267" t="s">
        <v>20</v>
      </c>
      <c r="H267">
        <v>319.60000000000002</v>
      </c>
      <c r="I267" t="str">
        <f t="shared" si="8"/>
        <v>Jun/2024</v>
      </c>
      <c r="J267">
        <f t="shared" si="9"/>
        <v>136909.70000000001</v>
      </c>
    </row>
    <row r="268" spans="1:10" hidden="1">
      <c r="A268">
        <v>267</v>
      </c>
      <c r="B268">
        <v>57</v>
      </c>
      <c r="C268" t="s">
        <v>12</v>
      </c>
      <c r="D268" s="1">
        <v>45447</v>
      </c>
      <c r="E268" t="s">
        <v>26</v>
      </c>
      <c r="F268" t="s">
        <v>21</v>
      </c>
      <c r="G268" t="s">
        <v>20</v>
      </c>
      <c r="H268">
        <v>798.16</v>
      </c>
      <c r="I268" t="str">
        <f t="shared" si="8"/>
        <v>Jun/2024</v>
      </c>
      <c r="J268">
        <f t="shared" si="9"/>
        <v>137707.86000000002</v>
      </c>
    </row>
    <row r="269" spans="1:10" hidden="1">
      <c r="A269">
        <v>268</v>
      </c>
      <c r="B269">
        <v>48</v>
      </c>
      <c r="C269" t="s">
        <v>12</v>
      </c>
      <c r="D269" s="1">
        <v>45296</v>
      </c>
      <c r="E269" t="s">
        <v>9</v>
      </c>
      <c r="F269" t="s">
        <v>18</v>
      </c>
      <c r="G269" t="s">
        <v>20</v>
      </c>
      <c r="H269">
        <v>674.23</v>
      </c>
      <c r="I269" t="str">
        <f t="shared" si="8"/>
        <v>Jan/2024</v>
      </c>
      <c r="J269">
        <f t="shared" si="9"/>
        <v>138382.09000000003</v>
      </c>
    </row>
    <row r="270" spans="1:10" hidden="1">
      <c r="A270">
        <v>269</v>
      </c>
      <c r="B270">
        <v>99</v>
      </c>
      <c r="C270" t="s">
        <v>19</v>
      </c>
      <c r="D270" s="1">
        <v>45360</v>
      </c>
      <c r="E270" t="s">
        <v>9</v>
      </c>
      <c r="F270" t="s">
        <v>10</v>
      </c>
      <c r="G270" t="s">
        <v>20</v>
      </c>
      <c r="H270">
        <v>940.48</v>
      </c>
      <c r="I270" t="str">
        <f t="shared" si="8"/>
        <v>Mar/2024</v>
      </c>
      <c r="J270">
        <f t="shared" si="9"/>
        <v>139322.57000000004</v>
      </c>
    </row>
    <row r="271" spans="1:10" hidden="1">
      <c r="A271">
        <v>270</v>
      </c>
      <c r="B271">
        <v>71</v>
      </c>
      <c r="C271" t="s">
        <v>12</v>
      </c>
      <c r="D271" s="1">
        <v>45387</v>
      </c>
      <c r="E271" t="s">
        <v>15</v>
      </c>
      <c r="F271" t="s">
        <v>18</v>
      </c>
      <c r="G271" t="s">
        <v>11</v>
      </c>
      <c r="H271">
        <v>42.63</v>
      </c>
      <c r="I271" t="str">
        <f t="shared" si="8"/>
        <v>Apr/2024</v>
      </c>
      <c r="J271">
        <f t="shared" si="9"/>
        <v>139365.20000000004</v>
      </c>
    </row>
    <row r="272" spans="1:10" hidden="1">
      <c r="A272">
        <v>271</v>
      </c>
      <c r="B272">
        <v>37</v>
      </c>
      <c r="C272" t="s">
        <v>19</v>
      </c>
      <c r="D272" s="1">
        <v>45469</v>
      </c>
      <c r="E272" t="s">
        <v>26</v>
      </c>
      <c r="F272" t="s">
        <v>18</v>
      </c>
      <c r="G272" t="s">
        <v>16</v>
      </c>
      <c r="H272">
        <v>433.02</v>
      </c>
      <c r="I272" t="str">
        <f t="shared" si="8"/>
        <v>Jun/2024</v>
      </c>
      <c r="J272">
        <f t="shared" si="9"/>
        <v>139798.22000000003</v>
      </c>
    </row>
    <row r="273" spans="1:10" hidden="1">
      <c r="A273">
        <v>272</v>
      </c>
      <c r="B273">
        <v>65</v>
      </c>
      <c r="C273" t="s">
        <v>8</v>
      </c>
      <c r="D273" s="1">
        <v>45391</v>
      </c>
      <c r="E273" t="s">
        <v>15</v>
      </c>
      <c r="F273" t="s">
        <v>10</v>
      </c>
      <c r="G273" t="s">
        <v>20</v>
      </c>
      <c r="H273">
        <v>606.91</v>
      </c>
      <c r="I273" t="str">
        <f t="shared" si="8"/>
        <v>Apr/2024</v>
      </c>
      <c r="J273">
        <f t="shared" si="9"/>
        <v>140405.13000000003</v>
      </c>
    </row>
    <row r="274" spans="1:10" hidden="1">
      <c r="A274">
        <v>273</v>
      </c>
      <c r="B274">
        <v>94</v>
      </c>
      <c r="C274" t="s">
        <v>8</v>
      </c>
      <c r="D274" s="1">
        <v>45458</v>
      </c>
      <c r="E274" t="s">
        <v>26</v>
      </c>
      <c r="F274" t="s">
        <v>21</v>
      </c>
      <c r="G274" t="s">
        <v>16</v>
      </c>
      <c r="H274">
        <v>129.41</v>
      </c>
      <c r="I274" t="str">
        <f t="shared" si="8"/>
        <v>Jun/2024</v>
      </c>
      <c r="J274">
        <f t="shared" si="9"/>
        <v>140534.54000000004</v>
      </c>
    </row>
    <row r="275" spans="1:10" hidden="1">
      <c r="A275">
        <v>274</v>
      </c>
      <c r="B275">
        <v>83</v>
      </c>
      <c r="C275" t="s">
        <v>19</v>
      </c>
      <c r="D275" s="1">
        <v>45327</v>
      </c>
      <c r="E275" t="s">
        <v>26</v>
      </c>
      <c r="F275" t="s">
        <v>18</v>
      </c>
      <c r="G275" t="s">
        <v>20</v>
      </c>
      <c r="H275">
        <v>444.1</v>
      </c>
      <c r="I275" t="str">
        <f t="shared" si="8"/>
        <v>Feb/2024</v>
      </c>
      <c r="J275">
        <f t="shared" si="9"/>
        <v>140978.64000000004</v>
      </c>
    </row>
    <row r="276" spans="1:10" hidden="1">
      <c r="A276">
        <v>275</v>
      </c>
      <c r="B276">
        <v>71</v>
      </c>
      <c r="C276" t="s">
        <v>12</v>
      </c>
      <c r="D276" s="1">
        <v>45441</v>
      </c>
      <c r="E276" t="s">
        <v>26</v>
      </c>
      <c r="F276" t="s">
        <v>21</v>
      </c>
      <c r="G276" t="s">
        <v>20</v>
      </c>
      <c r="H276">
        <v>634.26</v>
      </c>
      <c r="I276" t="str">
        <f t="shared" si="8"/>
        <v>May/2024</v>
      </c>
      <c r="J276">
        <f t="shared" si="9"/>
        <v>141612.90000000005</v>
      </c>
    </row>
    <row r="277" spans="1:10" hidden="1">
      <c r="A277">
        <v>276</v>
      </c>
      <c r="B277">
        <v>46</v>
      </c>
      <c r="C277" t="s">
        <v>19</v>
      </c>
      <c r="D277" s="1">
        <v>45304</v>
      </c>
      <c r="E277" t="s">
        <v>26</v>
      </c>
      <c r="F277" t="s">
        <v>21</v>
      </c>
      <c r="G277" t="s">
        <v>20</v>
      </c>
      <c r="H277">
        <v>672.89</v>
      </c>
      <c r="I277" t="str">
        <f t="shared" si="8"/>
        <v>Jan/2024</v>
      </c>
      <c r="J277">
        <f t="shared" si="9"/>
        <v>142285.79000000007</v>
      </c>
    </row>
    <row r="278" spans="1:10" hidden="1">
      <c r="A278">
        <v>277</v>
      </c>
      <c r="B278">
        <v>56</v>
      </c>
      <c r="C278" t="s">
        <v>12</v>
      </c>
      <c r="D278" s="1">
        <v>45434</v>
      </c>
      <c r="E278" t="s">
        <v>15</v>
      </c>
      <c r="F278" t="s">
        <v>10</v>
      </c>
      <c r="G278" t="s">
        <v>11</v>
      </c>
      <c r="H278">
        <v>557.66999999999996</v>
      </c>
      <c r="I278" t="str">
        <f t="shared" si="8"/>
        <v>May/2024</v>
      </c>
      <c r="J278">
        <f t="shared" si="9"/>
        <v>142843.46000000008</v>
      </c>
    </row>
    <row r="279" spans="1:10" hidden="1">
      <c r="A279">
        <v>278</v>
      </c>
      <c r="B279">
        <v>34</v>
      </c>
      <c r="C279" t="s">
        <v>12</v>
      </c>
      <c r="D279" s="1">
        <v>45465</v>
      </c>
      <c r="E279" t="s">
        <v>15</v>
      </c>
      <c r="F279" t="s">
        <v>10</v>
      </c>
      <c r="G279" t="s">
        <v>20</v>
      </c>
      <c r="H279">
        <v>272.52999999999997</v>
      </c>
      <c r="I279" t="str">
        <f t="shared" si="8"/>
        <v>Jun/2024</v>
      </c>
      <c r="J279">
        <f t="shared" si="9"/>
        <v>143115.99000000008</v>
      </c>
    </row>
    <row r="280" spans="1:10" hidden="1">
      <c r="A280">
        <v>279</v>
      </c>
      <c r="B280">
        <v>19</v>
      </c>
      <c r="C280" t="s">
        <v>8</v>
      </c>
      <c r="D280" s="1">
        <v>45339</v>
      </c>
      <c r="E280" t="s">
        <v>15</v>
      </c>
      <c r="F280" t="s">
        <v>10</v>
      </c>
      <c r="G280" t="s">
        <v>11</v>
      </c>
      <c r="H280">
        <v>503.24</v>
      </c>
      <c r="I280" t="str">
        <f t="shared" si="8"/>
        <v>Feb/2024</v>
      </c>
      <c r="J280">
        <f t="shared" si="9"/>
        <v>143619.23000000007</v>
      </c>
    </row>
    <row r="281" spans="1:10" hidden="1">
      <c r="A281">
        <v>280</v>
      </c>
      <c r="B281">
        <v>27</v>
      </c>
      <c r="C281" t="s">
        <v>12</v>
      </c>
      <c r="D281" s="1">
        <v>45405</v>
      </c>
      <c r="E281" t="s">
        <v>26</v>
      </c>
      <c r="F281" t="s">
        <v>18</v>
      </c>
      <c r="G281" t="s">
        <v>11</v>
      </c>
      <c r="H281">
        <v>611.37</v>
      </c>
      <c r="I281" t="str">
        <f t="shared" si="8"/>
        <v>Apr/2024</v>
      </c>
      <c r="J281">
        <f t="shared" si="9"/>
        <v>144230.60000000006</v>
      </c>
    </row>
    <row r="282" spans="1:10" hidden="1">
      <c r="A282">
        <v>281</v>
      </c>
      <c r="B282">
        <v>69</v>
      </c>
      <c r="C282" t="s">
        <v>19</v>
      </c>
      <c r="D282" s="1">
        <v>45315</v>
      </c>
      <c r="E282" t="s">
        <v>26</v>
      </c>
      <c r="F282" t="s">
        <v>10</v>
      </c>
      <c r="G282" t="s">
        <v>11</v>
      </c>
      <c r="H282">
        <v>501.54</v>
      </c>
      <c r="I282" t="str">
        <f t="shared" si="8"/>
        <v>Jan/2024</v>
      </c>
      <c r="J282">
        <f t="shared" si="9"/>
        <v>144732.14000000007</v>
      </c>
    </row>
    <row r="283" spans="1:10" hidden="1">
      <c r="A283">
        <v>282</v>
      </c>
      <c r="B283">
        <v>90</v>
      </c>
      <c r="C283" t="s">
        <v>8</v>
      </c>
      <c r="D283" s="1">
        <v>45432</v>
      </c>
      <c r="E283" t="s">
        <v>26</v>
      </c>
      <c r="F283" t="s">
        <v>10</v>
      </c>
      <c r="G283" t="s">
        <v>20</v>
      </c>
      <c r="H283">
        <v>290.23</v>
      </c>
      <c r="I283" t="str">
        <f t="shared" si="8"/>
        <v>May/2024</v>
      </c>
      <c r="J283">
        <f t="shared" si="9"/>
        <v>145022.37000000008</v>
      </c>
    </row>
    <row r="284" spans="1:10" hidden="1">
      <c r="A284">
        <v>283</v>
      </c>
      <c r="B284">
        <v>63</v>
      </c>
      <c r="C284" t="s">
        <v>19</v>
      </c>
      <c r="D284" s="1">
        <v>45321</v>
      </c>
      <c r="E284" t="s">
        <v>15</v>
      </c>
      <c r="F284" t="s">
        <v>21</v>
      </c>
      <c r="G284" t="s">
        <v>20</v>
      </c>
      <c r="H284">
        <v>195.84</v>
      </c>
      <c r="I284" t="str">
        <f t="shared" si="8"/>
        <v>Jan/2024</v>
      </c>
      <c r="J284">
        <f t="shared" si="9"/>
        <v>145218.21000000008</v>
      </c>
    </row>
    <row r="285" spans="1:10" hidden="1">
      <c r="A285">
        <v>284</v>
      </c>
      <c r="B285">
        <v>86</v>
      </c>
      <c r="C285" t="s">
        <v>8</v>
      </c>
      <c r="D285" s="1">
        <v>45391</v>
      </c>
      <c r="E285" t="s">
        <v>15</v>
      </c>
      <c r="F285" t="s">
        <v>21</v>
      </c>
      <c r="G285" t="s">
        <v>11</v>
      </c>
      <c r="H285">
        <v>88.05</v>
      </c>
      <c r="I285" t="str">
        <f t="shared" si="8"/>
        <v>Apr/2024</v>
      </c>
      <c r="J285">
        <f t="shared" si="9"/>
        <v>145306.26000000007</v>
      </c>
    </row>
    <row r="286" spans="1:10" hidden="1">
      <c r="A286">
        <v>285</v>
      </c>
      <c r="B286">
        <v>82</v>
      </c>
      <c r="C286" t="s">
        <v>8</v>
      </c>
      <c r="D286" s="1">
        <v>45429</v>
      </c>
      <c r="E286" t="s">
        <v>26</v>
      </c>
      <c r="F286" t="s">
        <v>18</v>
      </c>
      <c r="G286" t="s">
        <v>20</v>
      </c>
      <c r="H286">
        <v>97.99</v>
      </c>
      <c r="I286" t="str">
        <f t="shared" si="8"/>
        <v>May/2024</v>
      </c>
      <c r="J286">
        <f t="shared" si="9"/>
        <v>145404.25000000006</v>
      </c>
    </row>
    <row r="287" spans="1:10" hidden="1">
      <c r="A287">
        <v>286</v>
      </c>
      <c r="B287">
        <v>65</v>
      </c>
      <c r="C287" t="s">
        <v>8</v>
      </c>
      <c r="D287" s="1">
        <v>45462</v>
      </c>
      <c r="E287" t="s">
        <v>15</v>
      </c>
      <c r="F287" t="s">
        <v>18</v>
      </c>
      <c r="G287" t="s">
        <v>11</v>
      </c>
      <c r="H287">
        <v>349.24</v>
      </c>
      <c r="I287" t="str">
        <f t="shared" si="8"/>
        <v>Jun/2024</v>
      </c>
      <c r="J287">
        <f t="shared" si="9"/>
        <v>145753.49000000005</v>
      </c>
    </row>
    <row r="288" spans="1:10" hidden="1">
      <c r="A288">
        <v>287</v>
      </c>
      <c r="B288">
        <v>14</v>
      </c>
      <c r="C288" t="s">
        <v>8</v>
      </c>
      <c r="D288" s="1">
        <v>45322</v>
      </c>
      <c r="E288" t="s">
        <v>15</v>
      </c>
      <c r="F288" t="s">
        <v>18</v>
      </c>
      <c r="G288" t="s">
        <v>20</v>
      </c>
      <c r="H288">
        <v>421.51</v>
      </c>
      <c r="I288" t="str">
        <f t="shared" si="8"/>
        <v>Jan/2024</v>
      </c>
      <c r="J288">
        <f t="shared" si="9"/>
        <v>146175.00000000006</v>
      </c>
    </row>
    <row r="289" spans="1:10" hidden="1">
      <c r="A289">
        <v>288</v>
      </c>
      <c r="B289">
        <v>48</v>
      </c>
      <c r="C289" t="s">
        <v>8</v>
      </c>
      <c r="D289" s="1">
        <v>45438</v>
      </c>
      <c r="E289" t="s">
        <v>15</v>
      </c>
      <c r="F289" t="s">
        <v>18</v>
      </c>
      <c r="G289" t="s">
        <v>20</v>
      </c>
      <c r="H289">
        <v>422.77</v>
      </c>
      <c r="I289" t="str">
        <f t="shared" si="8"/>
        <v>May/2024</v>
      </c>
      <c r="J289">
        <f t="shared" si="9"/>
        <v>146597.77000000005</v>
      </c>
    </row>
    <row r="290" spans="1:10" hidden="1">
      <c r="A290">
        <v>289</v>
      </c>
      <c r="B290">
        <v>61</v>
      </c>
      <c r="C290" t="s">
        <v>8</v>
      </c>
      <c r="D290" s="1">
        <v>45329</v>
      </c>
      <c r="E290" t="s">
        <v>15</v>
      </c>
      <c r="F290" t="s">
        <v>10</v>
      </c>
      <c r="G290" t="s">
        <v>16</v>
      </c>
      <c r="H290">
        <v>925.03</v>
      </c>
      <c r="I290" t="str">
        <f t="shared" si="8"/>
        <v>Feb/2024</v>
      </c>
      <c r="J290">
        <f t="shared" si="9"/>
        <v>147522.80000000005</v>
      </c>
    </row>
    <row r="291" spans="1:10" hidden="1">
      <c r="A291">
        <v>290</v>
      </c>
      <c r="B291">
        <v>35</v>
      </c>
      <c r="C291" t="s">
        <v>8</v>
      </c>
      <c r="D291" s="1">
        <v>45349</v>
      </c>
      <c r="E291" t="s">
        <v>15</v>
      </c>
      <c r="F291" t="s">
        <v>10</v>
      </c>
      <c r="G291" t="s">
        <v>16</v>
      </c>
      <c r="H291">
        <v>319.58</v>
      </c>
      <c r="I291" t="str">
        <f t="shared" si="8"/>
        <v>Feb/2024</v>
      </c>
      <c r="J291">
        <f t="shared" si="9"/>
        <v>147842.38000000003</v>
      </c>
    </row>
    <row r="292" spans="1:10" hidden="1">
      <c r="A292">
        <v>291</v>
      </c>
      <c r="B292">
        <v>67</v>
      </c>
      <c r="C292" t="s">
        <v>12</v>
      </c>
      <c r="D292" s="1">
        <v>45404</v>
      </c>
      <c r="E292" t="s">
        <v>26</v>
      </c>
      <c r="F292" t="s">
        <v>21</v>
      </c>
      <c r="G292" t="s">
        <v>16</v>
      </c>
      <c r="H292">
        <v>556.41999999999996</v>
      </c>
      <c r="I292" t="str">
        <f t="shared" si="8"/>
        <v>Apr/2024</v>
      </c>
      <c r="J292">
        <f t="shared" si="9"/>
        <v>148398.80000000005</v>
      </c>
    </row>
    <row r="293" spans="1:10" hidden="1">
      <c r="A293">
        <v>292</v>
      </c>
      <c r="B293">
        <v>16</v>
      </c>
      <c r="C293" t="s">
        <v>8</v>
      </c>
      <c r="D293" s="1">
        <v>45326</v>
      </c>
      <c r="E293" t="s">
        <v>26</v>
      </c>
      <c r="F293" t="s">
        <v>10</v>
      </c>
      <c r="G293" t="s">
        <v>16</v>
      </c>
      <c r="H293">
        <v>818.54</v>
      </c>
      <c r="I293" t="str">
        <f t="shared" si="8"/>
        <v>Feb/2024</v>
      </c>
      <c r="J293">
        <f t="shared" si="9"/>
        <v>149217.34000000005</v>
      </c>
    </row>
    <row r="294" spans="1:10" hidden="1">
      <c r="A294">
        <v>293</v>
      </c>
      <c r="B294">
        <v>44</v>
      </c>
      <c r="C294" t="s">
        <v>8</v>
      </c>
      <c r="D294" s="1">
        <v>45293</v>
      </c>
      <c r="E294" t="s">
        <v>15</v>
      </c>
      <c r="F294" t="s">
        <v>21</v>
      </c>
      <c r="G294" t="s">
        <v>16</v>
      </c>
      <c r="H294">
        <v>320.62</v>
      </c>
      <c r="I294" t="str">
        <f t="shared" si="8"/>
        <v>Jan/2024</v>
      </c>
      <c r="J294">
        <f t="shared" si="9"/>
        <v>149537.96000000005</v>
      </c>
    </row>
    <row r="295" spans="1:10" hidden="1">
      <c r="A295">
        <v>294</v>
      </c>
      <c r="B295">
        <v>80</v>
      </c>
      <c r="C295" t="s">
        <v>19</v>
      </c>
      <c r="D295" s="1">
        <v>45382</v>
      </c>
      <c r="E295" t="s">
        <v>15</v>
      </c>
      <c r="F295" t="s">
        <v>21</v>
      </c>
      <c r="G295" t="s">
        <v>20</v>
      </c>
      <c r="H295">
        <v>178.82</v>
      </c>
      <c r="I295" t="str">
        <f t="shared" si="8"/>
        <v>Mar/2024</v>
      </c>
      <c r="J295">
        <f t="shared" si="9"/>
        <v>149716.78000000006</v>
      </c>
    </row>
    <row r="296" spans="1:10" hidden="1">
      <c r="A296">
        <v>295</v>
      </c>
      <c r="B296">
        <v>83</v>
      </c>
      <c r="C296" t="s">
        <v>8</v>
      </c>
      <c r="D296" s="1">
        <v>45351</v>
      </c>
      <c r="E296" t="s">
        <v>26</v>
      </c>
      <c r="F296" t="s">
        <v>18</v>
      </c>
      <c r="G296" t="s">
        <v>20</v>
      </c>
      <c r="H296">
        <v>237.65</v>
      </c>
      <c r="I296" t="str">
        <f t="shared" si="8"/>
        <v>Feb/2024</v>
      </c>
      <c r="J296">
        <f t="shared" si="9"/>
        <v>149954.43000000005</v>
      </c>
    </row>
    <row r="297" spans="1:10" hidden="1">
      <c r="A297">
        <v>296</v>
      </c>
      <c r="B297">
        <v>93</v>
      </c>
      <c r="C297" t="s">
        <v>8</v>
      </c>
      <c r="D297" s="1">
        <v>45365</v>
      </c>
      <c r="E297" t="s">
        <v>9</v>
      </c>
      <c r="F297" t="s">
        <v>21</v>
      </c>
      <c r="G297" t="s">
        <v>20</v>
      </c>
      <c r="H297">
        <v>658.16</v>
      </c>
      <c r="I297" t="str">
        <f t="shared" si="8"/>
        <v>Mar/2024</v>
      </c>
      <c r="J297">
        <f t="shared" si="9"/>
        <v>150612.59000000005</v>
      </c>
    </row>
    <row r="298" spans="1:10" hidden="1">
      <c r="A298">
        <v>297</v>
      </c>
      <c r="B298">
        <v>43</v>
      </c>
      <c r="C298" t="s">
        <v>8</v>
      </c>
      <c r="D298" s="1">
        <v>45314</v>
      </c>
      <c r="E298" t="s">
        <v>26</v>
      </c>
      <c r="F298" t="s">
        <v>10</v>
      </c>
      <c r="G298" t="s">
        <v>11</v>
      </c>
      <c r="H298">
        <v>326.58</v>
      </c>
      <c r="I298" t="str">
        <f t="shared" si="8"/>
        <v>Jan/2024</v>
      </c>
      <c r="J298">
        <f t="shared" si="9"/>
        <v>150939.17000000004</v>
      </c>
    </row>
    <row r="299" spans="1:10" hidden="1">
      <c r="A299">
        <v>298</v>
      </c>
      <c r="B299">
        <v>87</v>
      </c>
      <c r="C299" t="s">
        <v>19</v>
      </c>
      <c r="D299" s="1">
        <v>45336</v>
      </c>
      <c r="E299" t="s">
        <v>26</v>
      </c>
      <c r="F299" t="s">
        <v>10</v>
      </c>
      <c r="G299" t="s">
        <v>20</v>
      </c>
      <c r="H299">
        <v>301.61</v>
      </c>
      <c r="I299" t="str">
        <f t="shared" si="8"/>
        <v>Feb/2024</v>
      </c>
      <c r="J299">
        <f t="shared" si="9"/>
        <v>151240.78000000003</v>
      </c>
    </row>
    <row r="300" spans="1:10" hidden="1">
      <c r="A300">
        <v>299</v>
      </c>
      <c r="B300">
        <v>56</v>
      </c>
      <c r="C300" t="s">
        <v>19</v>
      </c>
      <c r="D300" s="1">
        <v>45438</v>
      </c>
      <c r="E300" t="s">
        <v>26</v>
      </c>
      <c r="F300" t="s">
        <v>10</v>
      </c>
      <c r="G300" t="s">
        <v>11</v>
      </c>
      <c r="H300">
        <v>357.56</v>
      </c>
      <c r="I300" t="str">
        <f t="shared" si="8"/>
        <v>May/2024</v>
      </c>
      <c r="J300">
        <f t="shared" si="9"/>
        <v>151598.34000000003</v>
      </c>
    </row>
    <row r="301" spans="1:10" hidden="1">
      <c r="A301">
        <v>300</v>
      </c>
      <c r="B301">
        <v>3</v>
      </c>
      <c r="C301" t="s">
        <v>12</v>
      </c>
      <c r="D301" s="1">
        <v>45408</v>
      </c>
      <c r="E301" t="s">
        <v>15</v>
      </c>
      <c r="F301" t="s">
        <v>18</v>
      </c>
      <c r="G301" t="s">
        <v>20</v>
      </c>
      <c r="H301">
        <v>358.21</v>
      </c>
      <c r="I301" t="str">
        <f t="shared" si="8"/>
        <v>Apr/2024</v>
      </c>
      <c r="J301">
        <f t="shared" si="9"/>
        <v>151956.55000000002</v>
      </c>
    </row>
    <row r="302" spans="1:10" hidden="1">
      <c r="A302">
        <v>301</v>
      </c>
      <c r="B302">
        <v>22</v>
      </c>
      <c r="C302" t="s">
        <v>8</v>
      </c>
      <c r="D302" s="1">
        <v>45415</v>
      </c>
      <c r="E302" t="s">
        <v>26</v>
      </c>
      <c r="F302" t="s">
        <v>21</v>
      </c>
      <c r="G302" t="s">
        <v>20</v>
      </c>
      <c r="H302">
        <v>89.91</v>
      </c>
      <c r="I302" t="str">
        <f t="shared" si="8"/>
        <v>May/2024</v>
      </c>
      <c r="J302">
        <f t="shared" si="9"/>
        <v>152046.46000000002</v>
      </c>
    </row>
    <row r="303" spans="1:10" hidden="1">
      <c r="A303">
        <v>302</v>
      </c>
      <c r="B303">
        <v>85</v>
      </c>
      <c r="C303" t="s">
        <v>19</v>
      </c>
      <c r="D303" s="1">
        <v>45418</v>
      </c>
      <c r="E303" t="s">
        <v>15</v>
      </c>
      <c r="F303" t="s">
        <v>10</v>
      </c>
      <c r="G303" t="s">
        <v>16</v>
      </c>
      <c r="H303">
        <v>18.420000000000002</v>
      </c>
      <c r="I303" t="str">
        <f t="shared" si="8"/>
        <v>May/2024</v>
      </c>
      <c r="J303">
        <f t="shared" si="9"/>
        <v>152064.88000000003</v>
      </c>
    </row>
    <row r="304" spans="1:10" hidden="1">
      <c r="A304">
        <v>303</v>
      </c>
      <c r="B304">
        <v>80</v>
      </c>
      <c r="C304" t="s">
        <v>12</v>
      </c>
      <c r="D304" s="1">
        <v>45407</v>
      </c>
      <c r="E304" t="s">
        <v>9</v>
      </c>
      <c r="F304" t="s">
        <v>21</v>
      </c>
      <c r="G304" t="s">
        <v>11</v>
      </c>
      <c r="H304">
        <v>294.31</v>
      </c>
      <c r="I304" t="str">
        <f t="shared" si="8"/>
        <v>Apr/2024</v>
      </c>
      <c r="J304">
        <f t="shared" si="9"/>
        <v>152359.19000000003</v>
      </c>
    </row>
    <row r="305" spans="1:10" hidden="1">
      <c r="A305">
        <v>304</v>
      </c>
      <c r="B305">
        <v>17</v>
      </c>
      <c r="C305" t="s">
        <v>12</v>
      </c>
      <c r="D305" s="1">
        <v>45406</v>
      </c>
      <c r="E305" t="s">
        <v>15</v>
      </c>
      <c r="F305" t="s">
        <v>10</v>
      </c>
      <c r="G305" t="s">
        <v>11</v>
      </c>
      <c r="H305">
        <v>865.96</v>
      </c>
      <c r="I305" t="str">
        <f t="shared" si="8"/>
        <v>Apr/2024</v>
      </c>
      <c r="J305">
        <f t="shared" si="9"/>
        <v>153225.15000000002</v>
      </c>
    </row>
    <row r="306" spans="1:10" hidden="1">
      <c r="A306">
        <v>305</v>
      </c>
      <c r="B306">
        <v>35</v>
      </c>
      <c r="C306" t="s">
        <v>19</v>
      </c>
      <c r="D306" s="1">
        <v>45455</v>
      </c>
      <c r="E306" t="s">
        <v>9</v>
      </c>
      <c r="F306" t="s">
        <v>10</v>
      </c>
      <c r="G306" t="s">
        <v>11</v>
      </c>
      <c r="H306">
        <v>578.28</v>
      </c>
      <c r="I306" t="str">
        <f t="shared" si="8"/>
        <v>Jun/2024</v>
      </c>
      <c r="J306">
        <f t="shared" si="9"/>
        <v>153803.43000000002</v>
      </c>
    </row>
    <row r="307" spans="1:10" hidden="1">
      <c r="A307">
        <v>306</v>
      </c>
      <c r="B307">
        <v>39</v>
      </c>
      <c r="C307" t="s">
        <v>8</v>
      </c>
      <c r="D307" s="1">
        <v>45335</v>
      </c>
      <c r="E307" t="s">
        <v>26</v>
      </c>
      <c r="F307" t="s">
        <v>18</v>
      </c>
      <c r="G307" t="s">
        <v>11</v>
      </c>
      <c r="H307">
        <v>495.87</v>
      </c>
      <c r="I307" t="str">
        <f t="shared" si="8"/>
        <v>Feb/2024</v>
      </c>
      <c r="J307">
        <f t="shared" si="9"/>
        <v>154299.30000000002</v>
      </c>
    </row>
    <row r="308" spans="1:10" hidden="1">
      <c r="A308">
        <v>307</v>
      </c>
      <c r="B308">
        <v>30</v>
      </c>
      <c r="C308" t="s">
        <v>12</v>
      </c>
      <c r="D308" s="1">
        <v>45462</v>
      </c>
      <c r="E308" t="s">
        <v>9</v>
      </c>
      <c r="F308" t="s">
        <v>10</v>
      </c>
      <c r="G308" t="s">
        <v>11</v>
      </c>
      <c r="H308">
        <v>728.39</v>
      </c>
      <c r="I308" t="str">
        <f t="shared" si="8"/>
        <v>Jun/2024</v>
      </c>
      <c r="J308">
        <f t="shared" si="9"/>
        <v>155027.69000000003</v>
      </c>
    </row>
    <row r="309" spans="1:10" hidden="1">
      <c r="A309">
        <v>308</v>
      </c>
      <c r="B309">
        <v>47</v>
      </c>
      <c r="C309" t="s">
        <v>19</v>
      </c>
      <c r="D309" s="1">
        <v>45299</v>
      </c>
      <c r="E309" t="s">
        <v>9</v>
      </c>
      <c r="F309" t="s">
        <v>10</v>
      </c>
      <c r="G309" t="s">
        <v>20</v>
      </c>
      <c r="H309">
        <v>949.72</v>
      </c>
      <c r="I309" t="str">
        <f t="shared" si="8"/>
        <v>Jan/2024</v>
      </c>
      <c r="J309">
        <f t="shared" si="9"/>
        <v>155977.41000000003</v>
      </c>
    </row>
    <row r="310" spans="1:10" hidden="1">
      <c r="A310">
        <v>309</v>
      </c>
      <c r="B310">
        <v>24</v>
      </c>
      <c r="C310" t="s">
        <v>8</v>
      </c>
      <c r="D310" s="1">
        <v>45374</v>
      </c>
      <c r="E310" t="s">
        <v>9</v>
      </c>
      <c r="F310" t="s">
        <v>21</v>
      </c>
      <c r="G310" t="s">
        <v>20</v>
      </c>
      <c r="H310">
        <v>56.12</v>
      </c>
      <c r="I310" t="str">
        <f t="shared" si="8"/>
        <v>Mar/2024</v>
      </c>
      <c r="J310">
        <f t="shared" si="9"/>
        <v>156033.53000000003</v>
      </c>
    </row>
    <row r="311" spans="1:10" hidden="1">
      <c r="A311">
        <v>310</v>
      </c>
      <c r="B311">
        <v>76</v>
      </c>
      <c r="C311" t="s">
        <v>8</v>
      </c>
      <c r="D311" s="1">
        <v>45438</v>
      </c>
      <c r="E311" t="s">
        <v>9</v>
      </c>
      <c r="F311" t="s">
        <v>21</v>
      </c>
      <c r="G311" t="s">
        <v>16</v>
      </c>
      <c r="H311">
        <v>56.35</v>
      </c>
      <c r="I311" t="str">
        <f t="shared" si="8"/>
        <v>May/2024</v>
      </c>
      <c r="J311">
        <f t="shared" si="9"/>
        <v>156089.88000000003</v>
      </c>
    </row>
    <row r="312" spans="1:10" hidden="1">
      <c r="A312">
        <v>311</v>
      </c>
      <c r="B312">
        <v>38</v>
      </c>
      <c r="C312" t="s">
        <v>8</v>
      </c>
      <c r="D312" s="1">
        <v>45390</v>
      </c>
      <c r="E312" t="s">
        <v>15</v>
      </c>
      <c r="F312" t="s">
        <v>10</v>
      </c>
      <c r="G312" t="s">
        <v>20</v>
      </c>
      <c r="H312">
        <v>651.35</v>
      </c>
      <c r="I312" t="str">
        <f t="shared" si="8"/>
        <v>Apr/2024</v>
      </c>
      <c r="J312">
        <f t="shared" si="9"/>
        <v>156741.23000000004</v>
      </c>
    </row>
    <row r="313" spans="1:10" hidden="1">
      <c r="A313">
        <v>312</v>
      </c>
      <c r="B313">
        <v>47</v>
      </c>
      <c r="C313" t="s">
        <v>19</v>
      </c>
      <c r="D313" s="1">
        <v>45345</v>
      </c>
      <c r="E313" t="s">
        <v>9</v>
      </c>
      <c r="F313" t="s">
        <v>10</v>
      </c>
      <c r="G313" t="s">
        <v>20</v>
      </c>
      <c r="H313">
        <v>471.27</v>
      </c>
      <c r="I313" t="str">
        <f t="shared" si="8"/>
        <v>Feb/2024</v>
      </c>
      <c r="J313">
        <f t="shared" si="9"/>
        <v>157212.50000000003</v>
      </c>
    </row>
    <row r="314" spans="1:10" hidden="1">
      <c r="A314">
        <v>313</v>
      </c>
      <c r="B314">
        <v>82</v>
      </c>
      <c r="C314" t="s">
        <v>19</v>
      </c>
      <c r="D314" s="1">
        <v>45441</v>
      </c>
      <c r="E314" t="s">
        <v>26</v>
      </c>
      <c r="F314" t="s">
        <v>21</v>
      </c>
      <c r="G314" t="s">
        <v>11</v>
      </c>
      <c r="H314">
        <v>732.6</v>
      </c>
      <c r="I314" t="str">
        <f t="shared" si="8"/>
        <v>May/2024</v>
      </c>
      <c r="J314">
        <f t="shared" si="9"/>
        <v>157945.10000000003</v>
      </c>
    </row>
    <row r="315" spans="1:10" hidden="1">
      <c r="A315">
        <v>314</v>
      </c>
      <c r="B315">
        <v>36</v>
      </c>
      <c r="C315" t="s">
        <v>19</v>
      </c>
      <c r="D315" s="1">
        <v>45341</v>
      </c>
      <c r="E315" t="s">
        <v>9</v>
      </c>
      <c r="F315" t="s">
        <v>10</v>
      </c>
      <c r="G315" t="s">
        <v>16</v>
      </c>
      <c r="H315">
        <v>865.3</v>
      </c>
      <c r="I315" t="str">
        <f t="shared" si="8"/>
        <v>Feb/2024</v>
      </c>
      <c r="J315">
        <f t="shared" si="9"/>
        <v>158810.40000000002</v>
      </c>
    </row>
    <row r="316" spans="1:10" hidden="1">
      <c r="A316">
        <v>315</v>
      </c>
      <c r="B316">
        <v>40</v>
      </c>
      <c r="C316" t="s">
        <v>12</v>
      </c>
      <c r="D316" s="1">
        <v>45306</v>
      </c>
      <c r="E316" t="s">
        <v>15</v>
      </c>
      <c r="F316" t="s">
        <v>10</v>
      </c>
      <c r="G316" t="s">
        <v>16</v>
      </c>
      <c r="H316">
        <v>49.2</v>
      </c>
      <c r="I316" t="str">
        <f t="shared" si="8"/>
        <v>Jan/2024</v>
      </c>
      <c r="J316">
        <f t="shared" si="9"/>
        <v>158859.60000000003</v>
      </c>
    </row>
    <row r="317" spans="1:10" hidden="1">
      <c r="A317">
        <v>316</v>
      </c>
      <c r="B317">
        <v>28</v>
      </c>
      <c r="C317" t="s">
        <v>19</v>
      </c>
      <c r="D317" s="1">
        <v>45452</v>
      </c>
      <c r="E317" t="s">
        <v>26</v>
      </c>
      <c r="F317" t="s">
        <v>18</v>
      </c>
      <c r="G317" t="s">
        <v>20</v>
      </c>
      <c r="H317">
        <v>567.72</v>
      </c>
      <c r="I317" t="str">
        <f t="shared" si="8"/>
        <v>Jun/2024</v>
      </c>
      <c r="J317">
        <f t="shared" si="9"/>
        <v>159427.32000000004</v>
      </c>
    </row>
    <row r="318" spans="1:10" hidden="1">
      <c r="A318">
        <v>317</v>
      </c>
      <c r="B318">
        <v>31</v>
      </c>
      <c r="C318" t="s">
        <v>19</v>
      </c>
      <c r="D318" s="1">
        <v>45300</v>
      </c>
      <c r="E318" t="s">
        <v>26</v>
      </c>
      <c r="F318" t="s">
        <v>21</v>
      </c>
      <c r="G318" t="s">
        <v>11</v>
      </c>
      <c r="H318">
        <v>490.53</v>
      </c>
      <c r="I318" t="str">
        <f t="shared" si="8"/>
        <v>Jan/2024</v>
      </c>
      <c r="J318">
        <f t="shared" si="9"/>
        <v>159917.85000000003</v>
      </c>
    </row>
    <row r="319" spans="1:10" hidden="1">
      <c r="A319">
        <v>318</v>
      </c>
      <c r="B319">
        <v>34</v>
      </c>
      <c r="C319" t="s">
        <v>12</v>
      </c>
      <c r="D319" s="1">
        <v>45354</v>
      </c>
      <c r="E319" t="s">
        <v>9</v>
      </c>
      <c r="F319" t="s">
        <v>10</v>
      </c>
      <c r="G319" t="s">
        <v>20</v>
      </c>
      <c r="H319">
        <v>11.38</v>
      </c>
      <c r="I319" t="str">
        <f t="shared" si="8"/>
        <v>Mar/2024</v>
      </c>
      <c r="J319">
        <f t="shared" si="9"/>
        <v>159929.23000000004</v>
      </c>
    </row>
    <row r="320" spans="1:10" hidden="1">
      <c r="A320">
        <v>319</v>
      </c>
      <c r="B320">
        <v>56</v>
      </c>
      <c r="C320" t="s">
        <v>12</v>
      </c>
      <c r="D320" s="1">
        <v>45345</v>
      </c>
      <c r="E320" t="s">
        <v>9</v>
      </c>
      <c r="F320" t="s">
        <v>21</v>
      </c>
      <c r="G320" t="s">
        <v>11</v>
      </c>
      <c r="H320">
        <v>409.72</v>
      </c>
      <c r="I320" t="str">
        <f t="shared" si="8"/>
        <v>Feb/2024</v>
      </c>
      <c r="J320">
        <f t="shared" si="9"/>
        <v>160338.95000000004</v>
      </c>
    </row>
    <row r="321" spans="1:10" hidden="1">
      <c r="A321">
        <v>320</v>
      </c>
      <c r="B321">
        <v>45</v>
      </c>
      <c r="C321" t="s">
        <v>12</v>
      </c>
      <c r="D321" s="1">
        <v>45296</v>
      </c>
      <c r="E321" t="s">
        <v>9</v>
      </c>
      <c r="F321" t="s">
        <v>10</v>
      </c>
      <c r="G321" t="s">
        <v>11</v>
      </c>
      <c r="H321">
        <v>515.07000000000005</v>
      </c>
      <c r="I321" t="str">
        <f t="shared" si="8"/>
        <v>Jan/2024</v>
      </c>
      <c r="J321">
        <f t="shared" si="9"/>
        <v>160854.02000000005</v>
      </c>
    </row>
    <row r="322" spans="1:10" hidden="1">
      <c r="A322">
        <v>321</v>
      </c>
      <c r="B322">
        <v>32</v>
      </c>
      <c r="C322" t="s">
        <v>8</v>
      </c>
      <c r="D322" s="1">
        <v>45449</v>
      </c>
      <c r="E322" t="s">
        <v>9</v>
      </c>
      <c r="F322" t="s">
        <v>21</v>
      </c>
      <c r="G322" t="s">
        <v>11</v>
      </c>
      <c r="H322">
        <v>42.44</v>
      </c>
      <c r="I322" t="str">
        <f t="shared" si="8"/>
        <v>Jun/2024</v>
      </c>
      <c r="J322">
        <f t="shared" si="9"/>
        <v>160896.46000000005</v>
      </c>
    </row>
    <row r="323" spans="1:10" hidden="1">
      <c r="A323">
        <v>322</v>
      </c>
      <c r="B323">
        <v>54</v>
      </c>
      <c r="C323" t="s">
        <v>12</v>
      </c>
      <c r="D323" s="1">
        <v>45442</v>
      </c>
      <c r="E323" t="s">
        <v>15</v>
      </c>
      <c r="F323" t="s">
        <v>18</v>
      </c>
      <c r="G323" t="s">
        <v>16</v>
      </c>
      <c r="H323">
        <v>883.58</v>
      </c>
      <c r="I323" t="str">
        <f t="shared" ref="I323:I386" si="10">TEXT(D323,"mmm/yyyy")</f>
        <v>May/2024</v>
      </c>
      <c r="J323">
        <f t="shared" si="9"/>
        <v>161780.04000000004</v>
      </c>
    </row>
    <row r="324" spans="1:10" hidden="1">
      <c r="A324">
        <v>323</v>
      </c>
      <c r="B324">
        <v>44</v>
      </c>
      <c r="C324" t="s">
        <v>8</v>
      </c>
      <c r="D324" s="1">
        <v>45451</v>
      </c>
      <c r="E324" t="s">
        <v>15</v>
      </c>
      <c r="F324" t="s">
        <v>10</v>
      </c>
      <c r="G324" t="s">
        <v>16</v>
      </c>
      <c r="H324">
        <v>624.98</v>
      </c>
      <c r="I324" t="str">
        <f t="shared" si="10"/>
        <v>Jun/2024</v>
      </c>
      <c r="J324">
        <f t="shared" ref="J324:J387" si="11">J323+H324</f>
        <v>162405.02000000005</v>
      </c>
    </row>
    <row r="325" spans="1:10" hidden="1">
      <c r="A325">
        <v>324</v>
      </c>
      <c r="B325">
        <v>97</v>
      </c>
      <c r="C325" t="s">
        <v>12</v>
      </c>
      <c r="D325" s="1">
        <v>45388</v>
      </c>
      <c r="E325" t="s">
        <v>9</v>
      </c>
      <c r="F325" t="s">
        <v>10</v>
      </c>
      <c r="G325" t="s">
        <v>20</v>
      </c>
      <c r="H325">
        <v>195.74</v>
      </c>
      <c r="I325" t="str">
        <f t="shared" si="10"/>
        <v>Apr/2024</v>
      </c>
      <c r="J325">
        <f t="shared" si="11"/>
        <v>162600.76000000004</v>
      </c>
    </row>
    <row r="326" spans="1:10" hidden="1">
      <c r="A326">
        <v>325</v>
      </c>
      <c r="B326">
        <v>15</v>
      </c>
      <c r="C326" t="s">
        <v>12</v>
      </c>
      <c r="D326" s="1">
        <v>45397</v>
      </c>
      <c r="E326" t="s">
        <v>15</v>
      </c>
      <c r="F326" t="s">
        <v>21</v>
      </c>
      <c r="G326" t="s">
        <v>20</v>
      </c>
      <c r="H326">
        <v>241.22</v>
      </c>
      <c r="I326" t="str">
        <f t="shared" si="10"/>
        <v>Apr/2024</v>
      </c>
      <c r="J326">
        <f t="shared" si="11"/>
        <v>162841.98000000004</v>
      </c>
    </row>
    <row r="327" spans="1:10" hidden="1">
      <c r="A327">
        <v>326</v>
      </c>
      <c r="B327">
        <v>97</v>
      </c>
      <c r="C327" t="s">
        <v>19</v>
      </c>
      <c r="D327" s="1">
        <v>45411</v>
      </c>
      <c r="E327" t="s">
        <v>9</v>
      </c>
      <c r="F327" t="s">
        <v>10</v>
      </c>
      <c r="G327" t="s">
        <v>20</v>
      </c>
      <c r="H327">
        <v>441.18</v>
      </c>
      <c r="I327" t="str">
        <f t="shared" si="10"/>
        <v>Apr/2024</v>
      </c>
      <c r="J327">
        <f t="shared" si="11"/>
        <v>163283.16000000003</v>
      </c>
    </row>
    <row r="328" spans="1:10" hidden="1">
      <c r="A328">
        <v>327</v>
      </c>
      <c r="B328">
        <v>17</v>
      </c>
      <c r="C328" t="s">
        <v>8</v>
      </c>
      <c r="D328" s="1">
        <v>45383</v>
      </c>
      <c r="E328" t="s">
        <v>9</v>
      </c>
      <c r="F328" t="s">
        <v>18</v>
      </c>
      <c r="G328" t="s">
        <v>20</v>
      </c>
      <c r="H328">
        <v>274.08999999999997</v>
      </c>
      <c r="I328" t="str">
        <f t="shared" si="10"/>
        <v>Apr/2024</v>
      </c>
      <c r="J328">
        <f t="shared" si="11"/>
        <v>163557.25000000003</v>
      </c>
    </row>
    <row r="329" spans="1:10" hidden="1">
      <c r="A329">
        <v>328</v>
      </c>
      <c r="B329">
        <v>91</v>
      </c>
      <c r="C329" t="s">
        <v>12</v>
      </c>
      <c r="D329" s="1">
        <v>45451</v>
      </c>
      <c r="E329" t="s">
        <v>26</v>
      </c>
      <c r="F329" t="s">
        <v>21</v>
      </c>
      <c r="G329" t="s">
        <v>11</v>
      </c>
      <c r="H329">
        <v>268.52</v>
      </c>
      <c r="I329" t="str">
        <f t="shared" si="10"/>
        <v>Jun/2024</v>
      </c>
      <c r="J329">
        <f t="shared" si="11"/>
        <v>163825.77000000002</v>
      </c>
    </row>
    <row r="330" spans="1:10" hidden="1">
      <c r="A330">
        <v>329</v>
      </c>
      <c r="B330">
        <v>92</v>
      </c>
      <c r="C330" t="s">
        <v>8</v>
      </c>
      <c r="D330" s="1">
        <v>45293</v>
      </c>
      <c r="E330" t="s">
        <v>9</v>
      </c>
      <c r="F330" t="s">
        <v>18</v>
      </c>
      <c r="G330" t="s">
        <v>16</v>
      </c>
      <c r="H330">
        <v>170.44</v>
      </c>
      <c r="I330" t="str">
        <f t="shared" si="10"/>
        <v>Jan/2024</v>
      </c>
      <c r="J330">
        <f t="shared" si="11"/>
        <v>163996.21000000002</v>
      </c>
    </row>
    <row r="331" spans="1:10" hidden="1">
      <c r="A331">
        <v>330</v>
      </c>
      <c r="B331">
        <v>72</v>
      </c>
      <c r="C331" t="s">
        <v>12</v>
      </c>
      <c r="D331" s="1">
        <v>45352</v>
      </c>
      <c r="E331" t="s">
        <v>9</v>
      </c>
      <c r="F331" t="s">
        <v>21</v>
      </c>
      <c r="G331" t="s">
        <v>16</v>
      </c>
      <c r="H331">
        <v>386.43</v>
      </c>
      <c r="I331" t="str">
        <f t="shared" si="10"/>
        <v>Mar/2024</v>
      </c>
      <c r="J331">
        <f t="shared" si="11"/>
        <v>164382.64000000001</v>
      </c>
    </row>
    <row r="332" spans="1:10" hidden="1">
      <c r="A332">
        <v>331</v>
      </c>
      <c r="B332">
        <v>74</v>
      </c>
      <c r="C332" t="s">
        <v>12</v>
      </c>
      <c r="D332" s="1">
        <v>45352</v>
      </c>
      <c r="E332" t="s">
        <v>26</v>
      </c>
      <c r="F332" t="s">
        <v>10</v>
      </c>
      <c r="G332" t="s">
        <v>20</v>
      </c>
      <c r="H332">
        <v>970.98</v>
      </c>
      <c r="I332" t="str">
        <f t="shared" si="10"/>
        <v>Mar/2024</v>
      </c>
      <c r="J332">
        <f t="shared" si="11"/>
        <v>165353.62000000002</v>
      </c>
    </row>
    <row r="333" spans="1:10" hidden="1">
      <c r="A333">
        <v>332</v>
      </c>
      <c r="B333">
        <v>7</v>
      </c>
      <c r="C333" t="s">
        <v>12</v>
      </c>
      <c r="D333" s="1">
        <v>45428</v>
      </c>
      <c r="E333" t="s">
        <v>9</v>
      </c>
      <c r="F333" t="s">
        <v>10</v>
      </c>
      <c r="G333" t="s">
        <v>16</v>
      </c>
      <c r="H333">
        <v>751.73</v>
      </c>
      <c r="I333" t="str">
        <f t="shared" si="10"/>
        <v>May/2024</v>
      </c>
      <c r="J333">
        <f t="shared" si="11"/>
        <v>166105.35000000003</v>
      </c>
    </row>
    <row r="334" spans="1:10" hidden="1">
      <c r="A334">
        <v>333</v>
      </c>
      <c r="B334">
        <v>24</v>
      </c>
      <c r="C334" t="s">
        <v>12</v>
      </c>
      <c r="D334" s="1">
        <v>45404</v>
      </c>
      <c r="E334" t="s">
        <v>9</v>
      </c>
      <c r="F334" t="s">
        <v>10</v>
      </c>
      <c r="G334" t="s">
        <v>16</v>
      </c>
      <c r="H334">
        <v>285.85000000000002</v>
      </c>
      <c r="I334" t="str">
        <f t="shared" si="10"/>
        <v>Apr/2024</v>
      </c>
      <c r="J334">
        <f t="shared" si="11"/>
        <v>166391.20000000004</v>
      </c>
    </row>
    <row r="335" spans="1:10" hidden="1">
      <c r="A335">
        <v>334</v>
      </c>
      <c r="B335">
        <v>10</v>
      </c>
      <c r="C335" t="s">
        <v>8</v>
      </c>
      <c r="D335" s="1">
        <v>45366</v>
      </c>
      <c r="E335" t="s">
        <v>15</v>
      </c>
      <c r="F335" t="s">
        <v>18</v>
      </c>
      <c r="G335" t="s">
        <v>20</v>
      </c>
      <c r="H335">
        <v>478.75</v>
      </c>
      <c r="I335" t="str">
        <f t="shared" si="10"/>
        <v>Mar/2024</v>
      </c>
      <c r="J335">
        <f t="shared" si="11"/>
        <v>166869.95000000004</v>
      </c>
    </row>
    <row r="336" spans="1:10" hidden="1">
      <c r="A336">
        <v>335</v>
      </c>
      <c r="B336">
        <v>26</v>
      </c>
      <c r="C336" t="s">
        <v>19</v>
      </c>
      <c r="D336" s="1">
        <v>45351</v>
      </c>
      <c r="E336" t="s">
        <v>26</v>
      </c>
      <c r="F336" t="s">
        <v>10</v>
      </c>
      <c r="G336" t="s">
        <v>16</v>
      </c>
      <c r="H336">
        <v>884.79</v>
      </c>
      <c r="I336" t="str">
        <f t="shared" si="10"/>
        <v>Feb/2024</v>
      </c>
      <c r="J336">
        <f t="shared" si="11"/>
        <v>167754.74000000005</v>
      </c>
    </row>
    <row r="337" spans="1:10" hidden="1">
      <c r="A337">
        <v>336</v>
      </c>
      <c r="B337">
        <v>92</v>
      </c>
      <c r="C337" t="s">
        <v>19</v>
      </c>
      <c r="D337" s="1">
        <v>45395</v>
      </c>
      <c r="E337" t="s">
        <v>26</v>
      </c>
      <c r="F337" t="s">
        <v>21</v>
      </c>
      <c r="G337" t="s">
        <v>16</v>
      </c>
      <c r="H337">
        <v>44.73</v>
      </c>
      <c r="I337" t="str">
        <f t="shared" si="10"/>
        <v>Apr/2024</v>
      </c>
      <c r="J337">
        <f t="shared" si="11"/>
        <v>167799.47000000006</v>
      </c>
    </row>
    <row r="338" spans="1:10" hidden="1">
      <c r="A338">
        <v>337</v>
      </c>
      <c r="B338">
        <v>68</v>
      </c>
      <c r="C338" t="s">
        <v>19</v>
      </c>
      <c r="D338" s="1">
        <v>45436</v>
      </c>
      <c r="E338" t="s">
        <v>9</v>
      </c>
      <c r="F338" t="s">
        <v>10</v>
      </c>
      <c r="G338" t="s">
        <v>16</v>
      </c>
      <c r="H338">
        <v>952.79</v>
      </c>
      <c r="I338" t="str">
        <f t="shared" si="10"/>
        <v>May/2024</v>
      </c>
      <c r="J338">
        <f t="shared" si="11"/>
        <v>168752.26000000007</v>
      </c>
    </row>
    <row r="339" spans="1:10" hidden="1">
      <c r="A339">
        <v>338</v>
      </c>
      <c r="B339">
        <v>31</v>
      </c>
      <c r="C339" t="s">
        <v>19</v>
      </c>
      <c r="D339" s="1">
        <v>45294</v>
      </c>
      <c r="E339" t="s">
        <v>9</v>
      </c>
      <c r="F339" t="s">
        <v>21</v>
      </c>
      <c r="G339" t="s">
        <v>20</v>
      </c>
      <c r="H339">
        <v>959.59</v>
      </c>
      <c r="I339" t="str">
        <f t="shared" si="10"/>
        <v>Jan/2024</v>
      </c>
      <c r="J339">
        <f t="shared" si="11"/>
        <v>169711.85000000006</v>
      </c>
    </row>
    <row r="340" spans="1:10" hidden="1">
      <c r="A340">
        <v>339</v>
      </c>
      <c r="B340">
        <v>41</v>
      </c>
      <c r="C340" t="s">
        <v>8</v>
      </c>
      <c r="D340" s="1">
        <v>45337</v>
      </c>
      <c r="E340" t="s">
        <v>9</v>
      </c>
      <c r="F340" t="s">
        <v>21</v>
      </c>
      <c r="G340" t="s">
        <v>11</v>
      </c>
      <c r="H340">
        <v>312.25</v>
      </c>
      <c r="I340" t="str">
        <f t="shared" si="10"/>
        <v>Feb/2024</v>
      </c>
      <c r="J340">
        <f t="shared" si="11"/>
        <v>170024.10000000006</v>
      </c>
    </row>
    <row r="341" spans="1:10" hidden="1">
      <c r="A341">
        <v>340</v>
      </c>
      <c r="B341">
        <v>95</v>
      </c>
      <c r="C341" t="s">
        <v>19</v>
      </c>
      <c r="D341" s="1">
        <v>45466</v>
      </c>
      <c r="E341" t="s">
        <v>9</v>
      </c>
      <c r="F341" t="s">
        <v>10</v>
      </c>
      <c r="G341" t="s">
        <v>11</v>
      </c>
      <c r="H341">
        <v>658.47</v>
      </c>
      <c r="I341" t="str">
        <f t="shared" si="10"/>
        <v>Jun/2024</v>
      </c>
      <c r="J341">
        <f t="shared" si="11"/>
        <v>170682.57000000007</v>
      </c>
    </row>
    <row r="342" spans="1:10" hidden="1">
      <c r="A342">
        <v>341</v>
      </c>
      <c r="B342">
        <v>17</v>
      </c>
      <c r="C342" t="s">
        <v>12</v>
      </c>
      <c r="D342" s="1">
        <v>45415</v>
      </c>
      <c r="E342" t="s">
        <v>26</v>
      </c>
      <c r="F342" t="s">
        <v>10</v>
      </c>
      <c r="G342" t="s">
        <v>20</v>
      </c>
      <c r="H342">
        <v>243.25</v>
      </c>
      <c r="I342" t="str">
        <f t="shared" si="10"/>
        <v>May/2024</v>
      </c>
      <c r="J342">
        <f t="shared" si="11"/>
        <v>170925.82000000007</v>
      </c>
    </row>
    <row r="343" spans="1:10" hidden="1">
      <c r="A343">
        <v>342</v>
      </c>
      <c r="B343">
        <v>4</v>
      </c>
      <c r="C343" t="s">
        <v>19</v>
      </c>
      <c r="D343" s="1">
        <v>45436</v>
      </c>
      <c r="E343" t="s">
        <v>15</v>
      </c>
      <c r="F343" t="s">
        <v>21</v>
      </c>
      <c r="G343" t="s">
        <v>16</v>
      </c>
      <c r="H343">
        <v>199.65</v>
      </c>
      <c r="I343" t="str">
        <f t="shared" si="10"/>
        <v>May/2024</v>
      </c>
      <c r="J343">
        <f t="shared" si="11"/>
        <v>171125.47000000006</v>
      </c>
    </row>
    <row r="344" spans="1:10" hidden="1">
      <c r="A344">
        <v>343</v>
      </c>
      <c r="B344">
        <v>96</v>
      </c>
      <c r="C344" t="s">
        <v>12</v>
      </c>
      <c r="D344" s="1">
        <v>45321</v>
      </c>
      <c r="E344" t="s">
        <v>9</v>
      </c>
      <c r="F344" t="s">
        <v>10</v>
      </c>
      <c r="G344" t="s">
        <v>11</v>
      </c>
      <c r="H344">
        <v>471.43</v>
      </c>
      <c r="I344" t="str">
        <f t="shared" si="10"/>
        <v>Jan/2024</v>
      </c>
      <c r="J344">
        <f t="shared" si="11"/>
        <v>171596.90000000005</v>
      </c>
    </row>
    <row r="345" spans="1:10">
      <c r="A345">
        <v>344</v>
      </c>
      <c r="B345">
        <v>81</v>
      </c>
      <c r="C345" t="s">
        <v>12</v>
      </c>
      <c r="D345" s="1">
        <v>45328</v>
      </c>
      <c r="E345" t="s">
        <v>9</v>
      </c>
      <c r="F345" t="s">
        <v>21</v>
      </c>
      <c r="G345" t="s">
        <v>11</v>
      </c>
      <c r="H345">
        <v>756.85</v>
      </c>
      <c r="I345" t="str">
        <f t="shared" si="10"/>
        <v>Feb/2024</v>
      </c>
      <c r="J345">
        <f t="shared" si="11"/>
        <v>172353.75000000006</v>
      </c>
    </row>
    <row r="346" spans="1:10" hidden="1">
      <c r="A346">
        <v>345</v>
      </c>
      <c r="B346">
        <v>61</v>
      </c>
      <c r="C346" t="s">
        <v>8</v>
      </c>
      <c r="D346" s="1">
        <v>45443</v>
      </c>
      <c r="E346" t="s">
        <v>15</v>
      </c>
      <c r="F346" t="s">
        <v>18</v>
      </c>
      <c r="G346" t="s">
        <v>11</v>
      </c>
      <c r="H346">
        <v>369.06</v>
      </c>
      <c r="I346" t="str">
        <f t="shared" si="10"/>
        <v>May/2024</v>
      </c>
      <c r="J346">
        <f t="shared" si="11"/>
        <v>172722.81000000006</v>
      </c>
    </row>
    <row r="347" spans="1:10" hidden="1">
      <c r="A347">
        <v>346</v>
      </c>
      <c r="B347">
        <v>97</v>
      </c>
      <c r="C347" t="s">
        <v>19</v>
      </c>
      <c r="D347" s="1">
        <v>45457</v>
      </c>
      <c r="E347" t="s">
        <v>26</v>
      </c>
      <c r="F347" t="s">
        <v>10</v>
      </c>
      <c r="G347" t="s">
        <v>20</v>
      </c>
      <c r="H347">
        <v>326.19</v>
      </c>
      <c r="I347" t="str">
        <f t="shared" si="10"/>
        <v>Jun/2024</v>
      </c>
      <c r="J347">
        <f t="shared" si="11"/>
        <v>173049.00000000006</v>
      </c>
    </row>
    <row r="348" spans="1:10" hidden="1">
      <c r="A348">
        <v>347</v>
      </c>
      <c r="B348">
        <v>90</v>
      </c>
      <c r="C348" t="s">
        <v>12</v>
      </c>
      <c r="D348" s="1">
        <v>45431</v>
      </c>
      <c r="E348" t="s">
        <v>9</v>
      </c>
      <c r="F348" t="s">
        <v>10</v>
      </c>
      <c r="G348" t="s">
        <v>11</v>
      </c>
      <c r="H348">
        <v>22.07</v>
      </c>
      <c r="I348" t="str">
        <f t="shared" si="10"/>
        <v>May/2024</v>
      </c>
      <c r="J348">
        <f t="shared" si="11"/>
        <v>173071.07000000007</v>
      </c>
    </row>
    <row r="349" spans="1:10" hidden="1">
      <c r="A349">
        <v>348</v>
      </c>
      <c r="B349">
        <v>29</v>
      </c>
      <c r="C349" t="s">
        <v>19</v>
      </c>
      <c r="D349" s="1">
        <v>45400</v>
      </c>
      <c r="E349" t="s">
        <v>9</v>
      </c>
      <c r="F349" t="s">
        <v>18</v>
      </c>
      <c r="G349" t="s">
        <v>11</v>
      </c>
      <c r="H349">
        <v>825.33</v>
      </c>
      <c r="I349" t="str">
        <f t="shared" si="10"/>
        <v>Apr/2024</v>
      </c>
      <c r="J349">
        <f t="shared" si="11"/>
        <v>173896.40000000005</v>
      </c>
    </row>
    <row r="350" spans="1:10" hidden="1">
      <c r="A350">
        <v>349</v>
      </c>
      <c r="B350">
        <v>45</v>
      </c>
      <c r="C350" t="s">
        <v>19</v>
      </c>
      <c r="D350" s="1">
        <v>45311</v>
      </c>
      <c r="E350" t="s">
        <v>26</v>
      </c>
      <c r="F350" t="s">
        <v>10</v>
      </c>
      <c r="G350" t="s">
        <v>16</v>
      </c>
      <c r="H350">
        <v>697.77</v>
      </c>
      <c r="I350" t="str">
        <f t="shared" si="10"/>
        <v>Jan/2024</v>
      </c>
      <c r="J350">
        <f t="shared" si="11"/>
        <v>174594.17000000004</v>
      </c>
    </row>
    <row r="351" spans="1:10" hidden="1">
      <c r="A351">
        <v>350</v>
      </c>
      <c r="B351">
        <v>33</v>
      </c>
      <c r="C351" t="s">
        <v>8</v>
      </c>
      <c r="D351" s="1">
        <v>45430</v>
      </c>
      <c r="E351" t="s">
        <v>9</v>
      </c>
      <c r="F351" t="s">
        <v>21</v>
      </c>
      <c r="G351" t="s">
        <v>11</v>
      </c>
      <c r="H351">
        <v>417.1</v>
      </c>
      <c r="I351" t="str">
        <f t="shared" si="10"/>
        <v>May/2024</v>
      </c>
      <c r="J351">
        <f t="shared" si="11"/>
        <v>175011.27000000005</v>
      </c>
    </row>
    <row r="352" spans="1:10" hidden="1">
      <c r="A352">
        <v>351</v>
      </c>
      <c r="B352">
        <v>44</v>
      </c>
      <c r="C352" t="s">
        <v>19</v>
      </c>
      <c r="D352" s="1">
        <v>45450</v>
      </c>
      <c r="E352" t="s">
        <v>26</v>
      </c>
      <c r="F352" t="s">
        <v>10</v>
      </c>
      <c r="G352" t="s">
        <v>11</v>
      </c>
      <c r="H352">
        <v>74.81</v>
      </c>
      <c r="I352" t="str">
        <f t="shared" si="10"/>
        <v>Jun/2024</v>
      </c>
      <c r="J352">
        <f t="shared" si="11"/>
        <v>175086.08000000005</v>
      </c>
    </row>
    <row r="353" spans="1:10" hidden="1">
      <c r="A353">
        <v>352</v>
      </c>
      <c r="B353">
        <v>30</v>
      </c>
      <c r="C353" t="s">
        <v>12</v>
      </c>
      <c r="D353" s="1">
        <v>45346</v>
      </c>
      <c r="E353" t="s">
        <v>26</v>
      </c>
      <c r="F353" t="s">
        <v>10</v>
      </c>
      <c r="G353" t="s">
        <v>11</v>
      </c>
      <c r="H353">
        <v>104.54</v>
      </c>
      <c r="I353" t="str">
        <f t="shared" si="10"/>
        <v>Feb/2024</v>
      </c>
      <c r="J353">
        <f t="shared" si="11"/>
        <v>175190.62000000005</v>
      </c>
    </row>
    <row r="354" spans="1:10" hidden="1">
      <c r="A354">
        <v>353</v>
      </c>
      <c r="B354">
        <v>29</v>
      </c>
      <c r="C354" t="s">
        <v>12</v>
      </c>
      <c r="D354" s="1">
        <v>45457</v>
      </c>
      <c r="E354" t="s">
        <v>9</v>
      </c>
      <c r="F354" t="s">
        <v>18</v>
      </c>
      <c r="G354" t="s">
        <v>20</v>
      </c>
      <c r="H354">
        <v>480.07</v>
      </c>
      <c r="I354" t="str">
        <f t="shared" si="10"/>
        <v>Jun/2024</v>
      </c>
      <c r="J354">
        <f t="shared" si="11"/>
        <v>175670.69000000006</v>
      </c>
    </row>
    <row r="355" spans="1:10" hidden="1">
      <c r="A355">
        <v>354</v>
      </c>
      <c r="B355">
        <v>26</v>
      </c>
      <c r="C355" t="s">
        <v>8</v>
      </c>
      <c r="D355" s="1">
        <v>45364</v>
      </c>
      <c r="E355" t="s">
        <v>26</v>
      </c>
      <c r="F355" t="s">
        <v>10</v>
      </c>
      <c r="G355" t="s">
        <v>20</v>
      </c>
      <c r="H355">
        <v>842.37</v>
      </c>
      <c r="I355" t="str">
        <f t="shared" si="10"/>
        <v>Mar/2024</v>
      </c>
      <c r="J355">
        <f t="shared" si="11"/>
        <v>176513.06000000006</v>
      </c>
    </row>
    <row r="356" spans="1:10" hidden="1">
      <c r="A356">
        <v>355</v>
      </c>
      <c r="B356">
        <v>18</v>
      </c>
      <c r="C356" t="s">
        <v>19</v>
      </c>
      <c r="D356" s="1">
        <v>45363</v>
      </c>
      <c r="E356" t="s">
        <v>15</v>
      </c>
      <c r="F356" t="s">
        <v>18</v>
      </c>
      <c r="G356" t="s">
        <v>20</v>
      </c>
      <c r="H356">
        <v>422.03</v>
      </c>
      <c r="I356" t="str">
        <f t="shared" si="10"/>
        <v>Mar/2024</v>
      </c>
      <c r="J356">
        <f t="shared" si="11"/>
        <v>176935.09000000005</v>
      </c>
    </row>
    <row r="357" spans="1:10" hidden="1">
      <c r="A357">
        <v>356</v>
      </c>
      <c r="B357">
        <v>9</v>
      </c>
      <c r="C357" t="s">
        <v>12</v>
      </c>
      <c r="D357" s="1">
        <v>45325</v>
      </c>
      <c r="E357" t="s">
        <v>15</v>
      </c>
      <c r="F357" t="s">
        <v>18</v>
      </c>
      <c r="G357" t="s">
        <v>11</v>
      </c>
      <c r="H357">
        <v>161.41</v>
      </c>
      <c r="I357" t="str">
        <f t="shared" si="10"/>
        <v>Feb/2024</v>
      </c>
      <c r="J357">
        <f t="shared" si="11"/>
        <v>177096.50000000006</v>
      </c>
    </row>
    <row r="358" spans="1:10" hidden="1">
      <c r="A358">
        <v>357</v>
      </c>
      <c r="B358">
        <v>50</v>
      </c>
      <c r="C358" t="s">
        <v>19</v>
      </c>
      <c r="D358" s="1">
        <v>45330</v>
      </c>
      <c r="E358" t="s">
        <v>9</v>
      </c>
      <c r="F358" t="s">
        <v>18</v>
      </c>
      <c r="G358" t="s">
        <v>11</v>
      </c>
      <c r="H358">
        <v>361.26</v>
      </c>
      <c r="I358" t="str">
        <f t="shared" si="10"/>
        <v>Feb/2024</v>
      </c>
      <c r="J358">
        <f t="shared" si="11"/>
        <v>177457.76000000007</v>
      </c>
    </row>
    <row r="359" spans="1:10" hidden="1">
      <c r="A359">
        <v>358</v>
      </c>
      <c r="B359">
        <v>71</v>
      </c>
      <c r="C359" t="s">
        <v>19</v>
      </c>
      <c r="D359" s="1">
        <v>45429</v>
      </c>
      <c r="E359" t="s">
        <v>26</v>
      </c>
      <c r="F359" t="s">
        <v>18</v>
      </c>
      <c r="G359" t="s">
        <v>16</v>
      </c>
      <c r="H359">
        <v>999.25</v>
      </c>
      <c r="I359" t="str">
        <f t="shared" si="10"/>
        <v>May/2024</v>
      </c>
      <c r="J359">
        <f t="shared" si="11"/>
        <v>178457.01000000007</v>
      </c>
    </row>
    <row r="360" spans="1:10" hidden="1">
      <c r="A360">
        <v>359</v>
      </c>
      <c r="B360">
        <v>27</v>
      </c>
      <c r="C360" t="s">
        <v>12</v>
      </c>
      <c r="D360" s="1">
        <v>45339</v>
      </c>
      <c r="E360" t="s">
        <v>15</v>
      </c>
      <c r="F360" t="s">
        <v>18</v>
      </c>
      <c r="G360" t="s">
        <v>16</v>
      </c>
      <c r="H360">
        <v>495.53</v>
      </c>
      <c r="I360" t="str">
        <f t="shared" si="10"/>
        <v>Feb/2024</v>
      </c>
      <c r="J360">
        <f t="shared" si="11"/>
        <v>178952.54000000007</v>
      </c>
    </row>
    <row r="361" spans="1:10" hidden="1">
      <c r="A361">
        <v>360</v>
      </c>
      <c r="B361">
        <v>82</v>
      </c>
      <c r="C361" t="s">
        <v>12</v>
      </c>
      <c r="D361" s="1">
        <v>45445</v>
      </c>
      <c r="E361" t="s">
        <v>15</v>
      </c>
      <c r="F361" t="s">
        <v>21</v>
      </c>
      <c r="G361" t="s">
        <v>11</v>
      </c>
      <c r="H361">
        <v>40.89</v>
      </c>
      <c r="I361" t="str">
        <f t="shared" si="10"/>
        <v>Jun/2024</v>
      </c>
      <c r="J361">
        <f t="shared" si="11"/>
        <v>178993.43000000008</v>
      </c>
    </row>
    <row r="362" spans="1:10" hidden="1">
      <c r="A362">
        <v>361</v>
      </c>
      <c r="B362">
        <v>19</v>
      </c>
      <c r="C362" t="s">
        <v>12</v>
      </c>
      <c r="D362" s="1">
        <v>45450</v>
      </c>
      <c r="E362" t="s">
        <v>9</v>
      </c>
      <c r="F362" t="s">
        <v>21</v>
      </c>
      <c r="G362" t="s">
        <v>20</v>
      </c>
      <c r="H362">
        <v>444.31</v>
      </c>
      <c r="I362" t="str">
        <f t="shared" si="10"/>
        <v>Jun/2024</v>
      </c>
      <c r="J362">
        <f t="shared" si="11"/>
        <v>179437.74000000008</v>
      </c>
    </row>
    <row r="363" spans="1:10" hidden="1">
      <c r="A363">
        <v>362</v>
      </c>
      <c r="B363">
        <v>45</v>
      </c>
      <c r="C363" t="s">
        <v>8</v>
      </c>
      <c r="D363" s="1">
        <v>45463</v>
      </c>
      <c r="E363" t="s">
        <v>26</v>
      </c>
      <c r="F363" t="s">
        <v>10</v>
      </c>
      <c r="G363" t="s">
        <v>20</v>
      </c>
      <c r="H363">
        <v>739.69</v>
      </c>
      <c r="I363" t="str">
        <f t="shared" si="10"/>
        <v>Jun/2024</v>
      </c>
      <c r="J363">
        <f t="shared" si="11"/>
        <v>180177.43000000008</v>
      </c>
    </row>
    <row r="364" spans="1:10" hidden="1">
      <c r="A364">
        <v>363</v>
      </c>
      <c r="B364">
        <v>12</v>
      </c>
      <c r="C364" t="s">
        <v>8</v>
      </c>
      <c r="D364" s="1">
        <v>45463</v>
      </c>
      <c r="E364" t="s">
        <v>15</v>
      </c>
      <c r="F364" t="s">
        <v>10</v>
      </c>
      <c r="G364" t="s">
        <v>11</v>
      </c>
      <c r="H364">
        <v>577.64</v>
      </c>
      <c r="I364" t="str">
        <f t="shared" si="10"/>
        <v>Jun/2024</v>
      </c>
      <c r="J364">
        <f t="shared" si="11"/>
        <v>180755.07000000009</v>
      </c>
    </row>
    <row r="365" spans="1:10" hidden="1">
      <c r="A365">
        <v>364</v>
      </c>
      <c r="B365">
        <v>54</v>
      </c>
      <c r="C365" t="s">
        <v>12</v>
      </c>
      <c r="D365" s="1">
        <v>45372</v>
      </c>
      <c r="E365" t="s">
        <v>9</v>
      </c>
      <c r="F365" t="s">
        <v>10</v>
      </c>
      <c r="G365" t="s">
        <v>11</v>
      </c>
      <c r="H365">
        <v>230.65</v>
      </c>
      <c r="I365" t="str">
        <f t="shared" si="10"/>
        <v>Mar/2024</v>
      </c>
      <c r="J365">
        <f t="shared" si="11"/>
        <v>180985.72000000009</v>
      </c>
    </row>
    <row r="366" spans="1:10" hidden="1">
      <c r="A366">
        <v>365</v>
      </c>
      <c r="B366">
        <v>40</v>
      </c>
      <c r="C366" t="s">
        <v>8</v>
      </c>
      <c r="D366" s="1">
        <v>45392</v>
      </c>
      <c r="E366" t="s">
        <v>9</v>
      </c>
      <c r="F366" t="s">
        <v>10</v>
      </c>
      <c r="G366" t="s">
        <v>20</v>
      </c>
      <c r="H366">
        <v>692.1</v>
      </c>
      <c r="I366" t="str">
        <f t="shared" si="10"/>
        <v>Apr/2024</v>
      </c>
      <c r="J366">
        <f t="shared" si="11"/>
        <v>181677.82000000009</v>
      </c>
    </row>
    <row r="367" spans="1:10" hidden="1">
      <c r="A367">
        <v>366</v>
      </c>
      <c r="B367">
        <v>95</v>
      </c>
      <c r="C367" t="s">
        <v>12</v>
      </c>
      <c r="D367" s="1">
        <v>45386</v>
      </c>
      <c r="E367" t="s">
        <v>15</v>
      </c>
      <c r="F367" t="s">
        <v>18</v>
      </c>
      <c r="G367" t="s">
        <v>11</v>
      </c>
      <c r="H367">
        <v>378.29</v>
      </c>
      <c r="I367" t="str">
        <f t="shared" si="10"/>
        <v>Apr/2024</v>
      </c>
      <c r="J367">
        <f t="shared" si="11"/>
        <v>182056.1100000001</v>
      </c>
    </row>
    <row r="368" spans="1:10" hidden="1">
      <c r="A368">
        <v>367</v>
      </c>
      <c r="B368">
        <v>21</v>
      </c>
      <c r="C368" t="s">
        <v>12</v>
      </c>
      <c r="D368" s="1">
        <v>45314</v>
      </c>
      <c r="E368" t="s">
        <v>15</v>
      </c>
      <c r="F368" t="s">
        <v>21</v>
      </c>
      <c r="G368" t="s">
        <v>11</v>
      </c>
      <c r="H368">
        <v>584.9</v>
      </c>
      <c r="I368" t="str">
        <f t="shared" si="10"/>
        <v>Jan/2024</v>
      </c>
      <c r="J368">
        <f t="shared" si="11"/>
        <v>182641.0100000001</v>
      </c>
    </row>
    <row r="369" spans="1:10" hidden="1">
      <c r="A369">
        <v>368</v>
      </c>
      <c r="B369">
        <v>35</v>
      </c>
      <c r="C369" t="s">
        <v>12</v>
      </c>
      <c r="D369" s="1">
        <v>45352</v>
      </c>
      <c r="E369" t="s">
        <v>15</v>
      </c>
      <c r="F369" t="s">
        <v>21</v>
      </c>
      <c r="G369" t="s">
        <v>11</v>
      </c>
      <c r="H369">
        <v>39.01</v>
      </c>
      <c r="I369" t="str">
        <f t="shared" si="10"/>
        <v>Mar/2024</v>
      </c>
      <c r="J369">
        <f t="shared" si="11"/>
        <v>182680.02000000011</v>
      </c>
    </row>
    <row r="370" spans="1:10" hidden="1">
      <c r="A370">
        <v>369</v>
      </c>
      <c r="B370">
        <v>47</v>
      </c>
      <c r="C370" t="s">
        <v>12</v>
      </c>
      <c r="D370" s="1">
        <v>45317</v>
      </c>
      <c r="E370" t="s">
        <v>15</v>
      </c>
      <c r="F370" t="s">
        <v>18</v>
      </c>
      <c r="G370" t="s">
        <v>11</v>
      </c>
      <c r="H370">
        <v>899.07</v>
      </c>
      <c r="I370" t="str">
        <f t="shared" si="10"/>
        <v>Jan/2024</v>
      </c>
      <c r="J370">
        <f t="shared" si="11"/>
        <v>183579.09000000011</v>
      </c>
    </row>
    <row r="371" spans="1:10" hidden="1">
      <c r="A371">
        <v>370</v>
      </c>
      <c r="B371">
        <v>93</v>
      </c>
      <c r="C371" t="s">
        <v>8</v>
      </c>
      <c r="D371" s="1">
        <v>45318</v>
      </c>
      <c r="E371" t="s">
        <v>15</v>
      </c>
      <c r="F371" t="s">
        <v>10</v>
      </c>
      <c r="G371" t="s">
        <v>11</v>
      </c>
      <c r="H371">
        <v>96.04</v>
      </c>
      <c r="I371" t="str">
        <f t="shared" si="10"/>
        <v>Jan/2024</v>
      </c>
      <c r="J371">
        <f t="shared" si="11"/>
        <v>183675.13000000012</v>
      </c>
    </row>
    <row r="372" spans="1:10" hidden="1">
      <c r="A372">
        <v>371</v>
      </c>
      <c r="B372">
        <v>74</v>
      </c>
      <c r="C372" t="s">
        <v>8</v>
      </c>
      <c r="D372" s="1">
        <v>45293</v>
      </c>
      <c r="E372" t="s">
        <v>15</v>
      </c>
      <c r="F372" t="s">
        <v>21</v>
      </c>
      <c r="G372" t="s">
        <v>11</v>
      </c>
      <c r="H372">
        <v>269.99</v>
      </c>
      <c r="I372" t="str">
        <f t="shared" si="10"/>
        <v>Jan/2024</v>
      </c>
      <c r="J372">
        <f t="shared" si="11"/>
        <v>183945.12000000011</v>
      </c>
    </row>
    <row r="373" spans="1:10" hidden="1">
      <c r="A373">
        <v>372</v>
      </c>
      <c r="B373">
        <v>76</v>
      </c>
      <c r="C373" t="s">
        <v>19</v>
      </c>
      <c r="D373" s="1">
        <v>45426</v>
      </c>
      <c r="E373" t="s">
        <v>26</v>
      </c>
      <c r="F373" t="s">
        <v>10</v>
      </c>
      <c r="G373" t="s">
        <v>11</v>
      </c>
      <c r="H373">
        <v>996.49</v>
      </c>
      <c r="I373" t="str">
        <f t="shared" si="10"/>
        <v>May/2024</v>
      </c>
      <c r="J373">
        <f t="shared" si="11"/>
        <v>184941.6100000001</v>
      </c>
    </row>
    <row r="374" spans="1:10" hidden="1">
      <c r="A374">
        <v>373</v>
      </c>
      <c r="B374">
        <v>92</v>
      </c>
      <c r="C374" t="s">
        <v>12</v>
      </c>
      <c r="D374" s="1">
        <v>45302</v>
      </c>
      <c r="E374" t="s">
        <v>26</v>
      </c>
      <c r="F374" t="s">
        <v>21</v>
      </c>
      <c r="G374" t="s">
        <v>20</v>
      </c>
      <c r="H374">
        <v>573.22</v>
      </c>
      <c r="I374" t="str">
        <f t="shared" si="10"/>
        <v>Jan/2024</v>
      </c>
      <c r="J374">
        <f t="shared" si="11"/>
        <v>185514.8300000001</v>
      </c>
    </row>
    <row r="375" spans="1:10" hidden="1">
      <c r="A375">
        <v>374</v>
      </c>
      <c r="B375">
        <v>5</v>
      </c>
      <c r="C375" t="s">
        <v>8</v>
      </c>
      <c r="D375" s="1">
        <v>45456</v>
      </c>
      <c r="E375" t="s">
        <v>15</v>
      </c>
      <c r="F375" t="s">
        <v>21</v>
      </c>
      <c r="G375" t="s">
        <v>11</v>
      </c>
      <c r="H375">
        <v>694.03</v>
      </c>
      <c r="I375" t="str">
        <f t="shared" si="10"/>
        <v>Jun/2024</v>
      </c>
      <c r="J375">
        <f t="shared" si="11"/>
        <v>186208.8600000001</v>
      </c>
    </row>
    <row r="376" spans="1:10" hidden="1">
      <c r="A376">
        <v>375</v>
      </c>
      <c r="B376">
        <v>48</v>
      </c>
      <c r="C376" t="s">
        <v>12</v>
      </c>
      <c r="D376" s="1">
        <v>45422</v>
      </c>
      <c r="E376" t="s">
        <v>15</v>
      </c>
      <c r="F376" t="s">
        <v>10</v>
      </c>
      <c r="G376" t="s">
        <v>11</v>
      </c>
      <c r="H376">
        <v>963.03</v>
      </c>
      <c r="I376" t="str">
        <f t="shared" si="10"/>
        <v>May/2024</v>
      </c>
      <c r="J376">
        <f t="shared" si="11"/>
        <v>187171.8900000001</v>
      </c>
    </row>
    <row r="377" spans="1:10" hidden="1">
      <c r="A377">
        <v>376</v>
      </c>
      <c r="B377">
        <v>54</v>
      </c>
      <c r="C377" t="s">
        <v>12</v>
      </c>
      <c r="D377" s="1">
        <v>45301</v>
      </c>
      <c r="E377" t="s">
        <v>9</v>
      </c>
      <c r="F377" t="s">
        <v>21</v>
      </c>
      <c r="G377" t="s">
        <v>20</v>
      </c>
      <c r="H377">
        <v>118.46</v>
      </c>
      <c r="I377" t="str">
        <f t="shared" si="10"/>
        <v>Jan/2024</v>
      </c>
      <c r="J377">
        <f t="shared" si="11"/>
        <v>187290.35000000009</v>
      </c>
    </row>
    <row r="378" spans="1:10" hidden="1">
      <c r="A378">
        <v>377</v>
      </c>
      <c r="B378">
        <v>97</v>
      </c>
      <c r="C378" t="s">
        <v>8</v>
      </c>
      <c r="D378" s="1">
        <v>45307</v>
      </c>
      <c r="E378" t="s">
        <v>9</v>
      </c>
      <c r="F378" t="s">
        <v>21</v>
      </c>
      <c r="G378" t="s">
        <v>16</v>
      </c>
      <c r="H378">
        <v>773.47</v>
      </c>
      <c r="I378" t="str">
        <f t="shared" si="10"/>
        <v>Jan/2024</v>
      </c>
      <c r="J378">
        <f t="shared" si="11"/>
        <v>188063.82000000009</v>
      </c>
    </row>
    <row r="379" spans="1:10" hidden="1">
      <c r="A379">
        <v>378</v>
      </c>
      <c r="B379">
        <v>41</v>
      </c>
      <c r="C379" t="s">
        <v>8</v>
      </c>
      <c r="D379" s="1">
        <v>45455</v>
      </c>
      <c r="E379" t="s">
        <v>26</v>
      </c>
      <c r="F379" t="s">
        <v>10</v>
      </c>
      <c r="G379" t="s">
        <v>11</v>
      </c>
      <c r="H379">
        <v>180.86</v>
      </c>
      <c r="I379" t="str">
        <f t="shared" si="10"/>
        <v>Jun/2024</v>
      </c>
      <c r="J379">
        <f t="shared" si="11"/>
        <v>188244.68000000008</v>
      </c>
    </row>
    <row r="380" spans="1:10" hidden="1">
      <c r="A380">
        <v>379</v>
      </c>
      <c r="B380">
        <v>34</v>
      </c>
      <c r="C380" t="s">
        <v>19</v>
      </c>
      <c r="D380" s="1">
        <v>45387</v>
      </c>
      <c r="E380" t="s">
        <v>26</v>
      </c>
      <c r="F380" t="s">
        <v>10</v>
      </c>
      <c r="G380" t="s">
        <v>20</v>
      </c>
      <c r="H380">
        <v>18.61</v>
      </c>
      <c r="I380" t="str">
        <f t="shared" si="10"/>
        <v>Apr/2024</v>
      </c>
      <c r="J380">
        <f t="shared" si="11"/>
        <v>188263.29000000007</v>
      </c>
    </row>
    <row r="381" spans="1:10" hidden="1">
      <c r="A381">
        <v>380</v>
      </c>
      <c r="B381">
        <v>25</v>
      </c>
      <c r="C381" t="s">
        <v>19</v>
      </c>
      <c r="D381" s="1">
        <v>45392</v>
      </c>
      <c r="E381" t="s">
        <v>9</v>
      </c>
      <c r="F381" t="s">
        <v>18</v>
      </c>
      <c r="G381" t="s">
        <v>20</v>
      </c>
      <c r="H381">
        <v>176.96</v>
      </c>
      <c r="I381" t="str">
        <f t="shared" si="10"/>
        <v>Apr/2024</v>
      </c>
      <c r="J381">
        <f t="shared" si="11"/>
        <v>188440.25000000006</v>
      </c>
    </row>
    <row r="382" spans="1:10" hidden="1">
      <c r="A382">
        <v>381</v>
      </c>
      <c r="B382">
        <v>27</v>
      </c>
      <c r="C382" t="s">
        <v>19</v>
      </c>
      <c r="D382" s="1">
        <v>45298</v>
      </c>
      <c r="E382" t="s">
        <v>26</v>
      </c>
      <c r="F382" t="s">
        <v>21</v>
      </c>
      <c r="G382" t="s">
        <v>11</v>
      </c>
      <c r="H382">
        <v>32.44</v>
      </c>
      <c r="I382" t="str">
        <f t="shared" si="10"/>
        <v>Jan/2024</v>
      </c>
      <c r="J382">
        <f t="shared" si="11"/>
        <v>188472.69000000006</v>
      </c>
    </row>
    <row r="383" spans="1:10" hidden="1">
      <c r="A383">
        <v>382</v>
      </c>
      <c r="B383">
        <v>74</v>
      </c>
      <c r="C383" t="s">
        <v>19</v>
      </c>
      <c r="D383" s="1">
        <v>45334</v>
      </c>
      <c r="E383" t="s">
        <v>9</v>
      </c>
      <c r="F383" t="s">
        <v>10</v>
      </c>
      <c r="G383" t="s">
        <v>20</v>
      </c>
      <c r="H383">
        <v>351.27</v>
      </c>
      <c r="I383" t="str">
        <f t="shared" si="10"/>
        <v>Feb/2024</v>
      </c>
      <c r="J383">
        <f t="shared" si="11"/>
        <v>188823.96000000005</v>
      </c>
    </row>
    <row r="384" spans="1:10" hidden="1">
      <c r="A384">
        <v>383</v>
      </c>
      <c r="B384">
        <v>51</v>
      </c>
      <c r="C384" t="s">
        <v>12</v>
      </c>
      <c r="D384" s="1">
        <v>45296</v>
      </c>
      <c r="E384" t="s">
        <v>9</v>
      </c>
      <c r="F384" t="s">
        <v>18</v>
      </c>
      <c r="G384" t="s">
        <v>11</v>
      </c>
      <c r="H384">
        <v>303.16000000000003</v>
      </c>
      <c r="I384" t="str">
        <f t="shared" si="10"/>
        <v>Jan/2024</v>
      </c>
      <c r="J384">
        <f t="shared" si="11"/>
        <v>189127.12000000005</v>
      </c>
    </row>
    <row r="385" spans="1:10" hidden="1">
      <c r="A385">
        <v>384</v>
      </c>
      <c r="B385">
        <v>98</v>
      </c>
      <c r="C385" t="s">
        <v>19</v>
      </c>
      <c r="D385" s="1">
        <v>45417</v>
      </c>
      <c r="E385" t="s">
        <v>15</v>
      </c>
      <c r="F385" t="s">
        <v>18</v>
      </c>
      <c r="G385" t="s">
        <v>16</v>
      </c>
      <c r="H385">
        <v>404.15</v>
      </c>
      <c r="I385" t="str">
        <f t="shared" si="10"/>
        <v>May/2024</v>
      </c>
      <c r="J385">
        <f t="shared" si="11"/>
        <v>189531.27000000005</v>
      </c>
    </row>
    <row r="386" spans="1:10" hidden="1">
      <c r="A386">
        <v>385</v>
      </c>
      <c r="B386">
        <v>83</v>
      </c>
      <c r="C386" t="s">
        <v>8</v>
      </c>
      <c r="D386" s="1">
        <v>45301</v>
      </c>
      <c r="E386" t="s">
        <v>15</v>
      </c>
      <c r="F386" t="s">
        <v>21</v>
      </c>
      <c r="G386" t="s">
        <v>16</v>
      </c>
      <c r="H386">
        <v>800.76</v>
      </c>
      <c r="I386" t="str">
        <f t="shared" si="10"/>
        <v>Jan/2024</v>
      </c>
      <c r="J386">
        <f t="shared" si="11"/>
        <v>190332.03000000006</v>
      </c>
    </row>
    <row r="387" spans="1:10" hidden="1">
      <c r="A387">
        <v>386</v>
      </c>
      <c r="B387">
        <v>60</v>
      </c>
      <c r="C387" t="s">
        <v>8</v>
      </c>
      <c r="D387" s="1">
        <v>45320</v>
      </c>
      <c r="E387" t="s">
        <v>26</v>
      </c>
      <c r="F387" t="s">
        <v>21</v>
      </c>
      <c r="G387" t="s">
        <v>11</v>
      </c>
      <c r="H387">
        <v>321.45</v>
      </c>
      <c r="I387" t="str">
        <f t="shared" ref="I387:I450" si="12">TEXT(D387,"mmm/yyyy")</f>
        <v>Jan/2024</v>
      </c>
      <c r="J387">
        <f t="shared" si="11"/>
        <v>190653.48000000007</v>
      </c>
    </row>
    <row r="388" spans="1:10" hidden="1">
      <c r="A388">
        <v>387</v>
      </c>
      <c r="B388">
        <v>84</v>
      </c>
      <c r="C388" t="s">
        <v>12</v>
      </c>
      <c r="D388" s="1">
        <v>45336</v>
      </c>
      <c r="E388" t="s">
        <v>26</v>
      </c>
      <c r="F388" t="s">
        <v>18</v>
      </c>
      <c r="G388" t="s">
        <v>20</v>
      </c>
      <c r="H388">
        <v>510.38</v>
      </c>
      <c r="I388" t="str">
        <f t="shared" si="12"/>
        <v>Feb/2024</v>
      </c>
      <c r="J388">
        <f t="shared" ref="J388:J451" si="13">J387+H388</f>
        <v>191163.86000000007</v>
      </c>
    </row>
    <row r="389" spans="1:10" hidden="1">
      <c r="A389">
        <v>388</v>
      </c>
      <c r="B389">
        <v>32</v>
      </c>
      <c r="C389" t="s">
        <v>8</v>
      </c>
      <c r="D389" s="1">
        <v>45339</v>
      </c>
      <c r="E389" t="s">
        <v>15</v>
      </c>
      <c r="F389" t="s">
        <v>10</v>
      </c>
      <c r="G389" t="s">
        <v>16</v>
      </c>
      <c r="H389">
        <v>883.92</v>
      </c>
      <c r="I389" t="str">
        <f t="shared" si="12"/>
        <v>Feb/2024</v>
      </c>
      <c r="J389">
        <f t="shared" si="13"/>
        <v>192047.78000000009</v>
      </c>
    </row>
    <row r="390" spans="1:10" hidden="1">
      <c r="A390">
        <v>389</v>
      </c>
      <c r="B390">
        <v>49</v>
      </c>
      <c r="C390" t="s">
        <v>8</v>
      </c>
      <c r="D390" s="1">
        <v>45398</v>
      </c>
      <c r="E390" t="s">
        <v>15</v>
      </c>
      <c r="F390" t="s">
        <v>10</v>
      </c>
      <c r="G390" t="s">
        <v>16</v>
      </c>
      <c r="H390">
        <v>918.87</v>
      </c>
      <c r="I390" t="str">
        <f t="shared" si="12"/>
        <v>Apr/2024</v>
      </c>
      <c r="J390">
        <f t="shared" si="13"/>
        <v>192966.65000000008</v>
      </c>
    </row>
    <row r="391" spans="1:10" hidden="1">
      <c r="A391">
        <v>390</v>
      </c>
      <c r="B391">
        <v>1</v>
      </c>
      <c r="C391" t="s">
        <v>8</v>
      </c>
      <c r="D391" s="1">
        <v>45431</v>
      </c>
      <c r="E391" t="s">
        <v>26</v>
      </c>
      <c r="F391" t="s">
        <v>18</v>
      </c>
      <c r="G391" t="s">
        <v>16</v>
      </c>
      <c r="H391">
        <v>564.46</v>
      </c>
      <c r="I391" t="str">
        <f t="shared" si="12"/>
        <v>May/2024</v>
      </c>
      <c r="J391">
        <f t="shared" si="13"/>
        <v>193531.11000000007</v>
      </c>
    </row>
    <row r="392" spans="1:10" hidden="1">
      <c r="A392">
        <v>391</v>
      </c>
      <c r="B392">
        <v>7</v>
      </c>
      <c r="C392" t="s">
        <v>12</v>
      </c>
      <c r="D392" s="1">
        <v>45446</v>
      </c>
      <c r="E392" t="s">
        <v>15</v>
      </c>
      <c r="F392" t="s">
        <v>10</v>
      </c>
      <c r="G392" t="s">
        <v>11</v>
      </c>
      <c r="H392">
        <v>889.4</v>
      </c>
      <c r="I392" t="str">
        <f t="shared" si="12"/>
        <v>Jun/2024</v>
      </c>
      <c r="J392">
        <f t="shared" si="13"/>
        <v>194420.51000000007</v>
      </c>
    </row>
    <row r="393" spans="1:10">
      <c r="A393">
        <v>392</v>
      </c>
      <c r="B393">
        <v>81</v>
      </c>
      <c r="C393" t="s">
        <v>12</v>
      </c>
      <c r="D393" s="1">
        <v>45347</v>
      </c>
      <c r="E393" t="s">
        <v>9</v>
      </c>
      <c r="F393" t="s">
        <v>18</v>
      </c>
      <c r="G393" t="s">
        <v>16</v>
      </c>
      <c r="H393">
        <v>197.87</v>
      </c>
      <c r="I393" t="str">
        <f t="shared" si="12"/>
        <v>Feb/2024</v>
      </c>
      <c r="J393">
        <f t="shared" si="13"/>
        <v>194618.38000000006</v>
      </c>
    </row>
    <row r="394" spans="1:10" hidden="1">
      <c r="A394">
        <v>393</v>
      </c>
      <c r="B394">
        <v>24</v>
      </c>
      <c r="C394" t="s">
        <v>19</v>
      </c>
      <c r="D394" s="1">
        <v>45452</v>
      </c>
      <c r="E394" t="s">
        <v>26</v>
      </c>
      <c r="F394" t="s">
        <v>18</v>
      </c>
      <c r="G394" t="s">
        <v>11</v>
      </c>
      <c r="H394">
        <v>786.6</v>
      </c>
      <c r="I394" t="str">
        <f t="shared" si="12"/>
        <v>Jun/2024</v>
      </c>
      <c r="J394">
        <f t="shared" si="13"/>
        <v>195404.98000000007</v>
      </c>
    </row>
    <row r="395" spans="1:10" hidden="1">
      <c r="A395">
        <v>394</v>
      </c>
      <c r="B395">
        <v>37</v>
      </c>
      <c r="C395" t="s">
        <v>12</v>
      </c>
      <c r="D395" s="1">
        <v>45416</v>
      </c>
      <c r="E395" t="s">
        <v>15</v>
      </c>
      <c r="F395" t="s">
        <v>21</v>
      </c>
      <c r="G395" t="s">
        <v>20</v>
      </c>
      <c r="H395">
        <v>740.36</v>
      </c>
      <c r="I395" t="str">
        <f t="shared" si="12"/>
        <v>May/2024</v>
      </c>
      <c r="J395">
        <f t="shared" si="13"/>
        <v>196145.34000000005</v>
      </c>
    </row>
    <row r="396" spans="1:10">
      <c r="A396">
        <v>395</v>
      </c>
      <c r="B396">
        <v>81</v>
      </c>
      <c r="C396" t="s">
        <v>12</v>
      </c>
      <c r="D396" s="1">
        <v>45356</v>
      </c>
      <c r="E396" t="s">
        <v>26</v>
      </c>
      <c r="F396" t="s">
        <v>18</v>
      </c>
      <c r="G396" t="s">
        <v>16</v>
      </c>
      <c r="H396">
        <v>667.24</v>
      </c>
      <c r="I396" t="str">
        <f t="shared" si="12"/>
        <v>Mar/2024</v>
      </c>
      <c r="J396">
        <f t="shared" si="13"/>
        <v>196812.58000000005</v>
      </c>
    </row>
    <row r="397" spans="1:10" hidden="1">
      <c r="A397">
        <v>396</v>
      </c>
      <c r="B397">
        <v>84</v>
      </c>
      <c r="C397" t="s">
        <v>19</v>
      </c>
      <c r="D397" s="1">
        <v>45300</v>
      </c>
      <c r="E397" t="s">
        <v>26</v>
      </c>
      <c r="F397" t="s">
        <v>18</v>
      </c>
      <c r="G397" t="s">
        <v>11</v>
      </c>
      <c r="H397">
        <v>77.72</v>
      </c>
      <c r="I397" t="str">
        <f t="shared" si="12"/>
        <v>Jan/2024</v>
      </c>
      <c r="J397">
        <f t="shared" si="13"/>
        <v>196890.30000000005</v>
      </c>
    </row>
    <row r="398" spans="1:10" hidden="1">
      <c r="A398">
        <v>397</v>
      </c>
      <c r="B398">
        <v>79</v>
      </c>
      <c r="C398" t="s">
        <v>12</v>
      </c>
      <c r="D398" s="1">
        <v>45398</v>
      </c>
      <c r="E398" t="s">
        <v>26</v>
      </c>
      <c r="F398" t="s">
        <v>21</v>
      </c>
      <c r="G398" t="s">
        <v>11</v>
      </c>
      <c r="H398">
        <v>106.59</v>
      </c>
      <c r="I398" t="str">
        <f t="shared" si="12"/>
        <v>Apr/2024</v>
      </c>
      <c r="J398">
        <f t="shared" si="13"/>
        <v>196996.89000000004</v>
      </c>
    </row>
    <row r="399" spans="1:10" hidden="1">
      <c r="A399">
        <v>398</v>
      </c>
      <c r="B399">
        <v>3</v>
      </c>
      <c r="C399" t="s">
        <v>8</v>
      </c>
      <c r="D399" s="1">
        <v>45342</v>
      </c>
      <c r="E399" t="s">
        <v>26</v>
      </c>
      <c r="F399" t="s">
        <v>10</v>
      </c>
      <c r="G399" t="s">
        <v>20</v>
      </c>
      <c r="H399">
        <v>529.16</v>
      </c>
      <c r="I399" t="str">
        <f t="shared" si="12"/>
        <v>Feb/2024</v>
      </c>
      <c r="J399">
        <f t="shared" si="13"/>
        <v>197526.05000000005</v>
      </c>
    </row>
    <row r="400" spans="1:10" hidden="1">
      <c r="A400">
        <v>399</v>
      </c>
      <c r="B400">
        <v>50</v>
      </c>
      <c r="C400" t="s">
        <v>12</v>
      </c>
      <c r="D400" s="1">
        <v>45389</v>
      </c>
      <c r="E400" t="s">
        <v>26</v>
      </c>
      <c r="F400" t="s">
        <v>18</v>
      </c>
      <c r="G400" t="s">
        <v>20</v>
      </c>
      <c r="H400">
        <v>94.34</v>
      </c>
      <c r="I400" t="str">
        <f t="shared" si="12"/>
        <v>Apr/2024</v>
      </c>
      <c r="J400">
        <f t="shared" si="13"/>
        <v>197620.39000000004</v>
      </c>
    </row>
    <row r="401" spans="1:10" hidden="1">
      <c r="A401">
        <v>400</v>
      </c>
      <c r="B401">
        <v>44</v>
      </c>
      <c r="C401" t="s">
        <v>19</v>
      </c>
      <c r="D401" s="1">
        <v>45394</v>
      </c>
      <c r="E401" t="s">
        <v>9</v>
      </c>
      <c r="F401" t="s">
        <v>21</v>
      </c>
      <c r="G401" t="s">
        <v>20</v>
      </c>
      <c r="H401">
        <v>97.53</v>
      </c>
      <c r="I401" t="str">
        <f t="shared" si="12"/>
        <v>Apr/2024</v>
      </c>
      <c r="J401">
        <f t="shared" si="13"/>
        <v>197717.92000000004</v>
      </c>
    </row>
    <row r="402" spans="1:10" hidden="1">
      <c r="A402">
        <v>401</v>
      </c>
      <c r="B402">
        <v>34</v>
      </c>
      <c r="C402" t="s">
        <v>12</v>
      </c>
      <c r="D402" s="1">
        <v>45401</v>
      </c>
      <c r="E402" t="s">
        <v>15</v>
      </c>
      <c r="F402" t="s">
        <v>18</v>
      </c>
      <c r="G402" t="s">
        <v>16</v>
      </c>
      <c r="H402">
        <v>500.88</v>
      </c>
      <c r="I402" t="str">
        <f t="shared" si="12"/>
        <v>Apr/2024</v>
      </c>
      <c r="J402">
        <f t="shared" si="13"/>
        <v>198218.80000000005</v>
      </c>
    </row>
    <row r="403" spans="1:10" hidden="1">
      <c r="A403">
        <v>402</v>
      </c>
      <c r="B403">
        <v>41</v>
      </c>
      <c r="C403" t="s">
        <v>12</v>
      </c>
      <c r="D403" s="1">
        <v>45345</v>
      </c>
      <c r="E403" t="s">
        <v>15</v>
      </c>
      <c r="F403" t="s">
        <v>10</v>
      </c>
      <c r="G403" t="s">
        <v>20</v>
      </c>
      <c r="H403">
        <v>477.42</v>
      </c>
      <c r="I403" t="str">
        <f t="shared" si="12"/>
        <v>Feb/2024</v>
      </c>
      <c r="J403">
        <f t="shared" si="13"/>
        <v>198696.22000000006</v>
      </c>
    </row>
    <row r="404" spans="1:10" hidden="1">
      <c r="A404">
        <v>403</v>
      </c>
      <c r="B404">
        <v>6</v>
      </c>
      <c r="C404" t="s">
        <v>19</v>
      </c>
      <c r="D404" s="1">
        <v>45421</v>
      </c>
      <c r="E404" t="s">
        <v>26</v>
      </c>
      <c r="F404" t="s">
        <v>10</v>
      </c>
      <c r="G404" t="s">
        <v>20</v>
      </c>
      <c r="H404">
        <v>810.57</v>
      </c>
      <c r="I404" t="str">
        <f t="shared" si="12"/>
        <v>May/2024</v>
      </c>
      <c r="J404">
        <f t="shared" si="13"/>
        <v>199506.79000000007</v>
      </c>
    </row>
    <row r="405" spans="1:10" hidden="1">
      <c r="A405">
        <v>404</v>
      </c>
      <c r="B405">
        <v>47</v>
      </c>
      <c r="C405" t="s">
        <v>8</v>
      </c>
      <c r="D405" s="1">
        <v>45413</v>
      </c>
      <c r="E405" t="s">
        <v>26</v>
      </c>
      <c r="F405" t="s">
        <v>10</v>
      </c>
      <c r="G405" t="s">
        <v>16</v>
      </c>
      <c r="H405">
        <v>945.16</v>
      </c>
      <c r="I405" t="str">
        <f t="shared" si="12"/>
        <v>May/2024</v>
      </c>
      <c r="J405">
        <f t="shared" si="13"/>
        <v>200451.95000000007</v>
      </c>
    </row>
    <row r="406" spans="1:10" hidden="1">
      <c r="A406">
        <v>405</v>
      </c>
      <c r="B406">
        <v>4</v>
      </c>
      <c r="C406" t="s">
        <v>12</v>
      </c>
      <c r="D406" s="1">
        <v>45375</v>
      </c>
      <c r="E406" t="s">
        <v>15</v>
      </c>
      <c r="F406" t="s">
        <v>10</v>
      </c>
      <c r="G406" t="s">
        <v>11</v>
      </c>
      <c r="H406">
        <v>325.31</v>
      </c>
      <c r="I406" t="str">
        <f t="shared" si="12"/>
        <v>Mar/2024</v>
      </c>
      <c r="J406">
        <f t="shared" si="13"/>
        <v>200777.26000000007</v>
      </c>
    </row>
    <row r="407" spans="1:10" hidden="1">
      <c r="A407">
        <v>406</v>
      </c>
      <c r="B407">
        <v>39</v>
      </c>
      <c r="C407" t="s">
        <v>12</v>
      </c>
      <c r="D407" s="1">
        <v>45393</v>
      </c>
      <c r="E407" t="s">
        <v>9</v>
      </c>
      <c r="F407" t="s">
        <v>21</v>
      </c>
      <c r="G407" t="s">
        <v>11</v>
      </c>
      <c r="H407">
        <v>810.44</v>
      </c>
      <c r="I407" t="str">
        <f t="shared" si="12"/>
        <v>Apr/2024</v>
      </c>
      <c r="J407">
        <f t="shared" si="13"/>
        <v>201587.70000000007</v>
      </c>
    </row>
    <row r="408" spans="1:10" hidden="1">
      <c r="A408">
        <v>407</v>
      </c>
      <c r="B408">
        <v>10</v>
      </c>
      <c r="C408" t="s">
        <v>12</v>
      </c>
      <c r="D408" s="1">
        <v>45442</v>
      </c>
      <c r="E408" t="s">
        <v>15</v>
      </c>
      <c r="F408" t="s">
        <v>18</v>
      </c>
      <c r="G408" t="s">
        <v>11</v>
      </c>
      <c r="H408">
        <v>623.76</v>
      </c>
      <c r="I408" t="str">
        <f t="shared" si="12"/>
        <v>May/2024</v>
      </c>
      <c r="J408">
        <f t="shared" si="13"/>
        <v>202211.46000000008</v>
      </c>
    </row>
    <row r="409" spans="1:10" hidden="1">
      <c r="A409">
        <v>408</v>
      </c>
      <c r="B409">
        <v>45</v>
      </c>
      <c r="C409" t="s">
        <v>8</v>
      </c>
      <c r="D409" s="1">
        <v>45467</v>
      </c>
      <c r="E409" t="s">
        <v>15</v>
      </c>
      <c r="F409" t="s">
        <v>10</v>
      </c>
      <c r="G409" t="s">
        <v>11</v>
      </c>
      <c r="H409">
        <v>375.28</v>
      </c>
      <c r="I409" t="str">
        <f t="shared" si="12"/>
        <v>Jun/2024</v>
      </c>
      <c r="J409">
        <f t="shared" si="13"/>
        <v>202586.74000000008</v>
      </c>
    </row>
    <row r="410" spans="1:10" hidden="1">
      <c r="A410">
        <v>409</v>
      </c>
      <c r="B410">
        <v>46</v>
      </c>
      <c r="C410" t="s">
        <v>12</v>
      </c>
      <c r="D410" s="1">
        <v>45356</v>
      </c>
      <c r="E410" t="s">
        <v>26</v>
      </c>
      <c r="F410" t="s">
        <v>10</v>
      </c>
      <c r="G410" t="s">
        <v>16</v>
      </c>
      <c r="H410">
        <v>474.48</v>
      </c>
      <c r="I410" t="str">
        <f t="shared" si="12"/>
        <v>Mar/2024</v>
      </c>
      <c r="J410">
        <f t="shared" si="13"/>
        <v>203061.22000000009</v>
      </c>
    </row>
    <row r="411" spans="1:10" hidden="1">
      <c r="A411">
        <v>410</v>
      </c>
      <c r="B411">
        <v>5</v>
      </c>
      <c r="C411" t="s">
        <v>19</v>
      </c>
      <c r="D411" s="1">
        <v>45364</v>
      </c>
      <c r="E411" t="s">
        <v>26</v>
      </c>
      <c r="F411" t="s">
        <v>21</v>
      </c>
      <c r="G411" t="s">
        <v>11</v>
      </c>
      <c r="H411">
        <v>636.39</v>
      </c>
      <c r="I411" t="str">
        <f t="shared" si="12"/>
        <v>Mar/2024</v>
      </c>
      <c r="J411">
        <f t="shared" si="13"/>
        <v>203697.6100000001</v>
      </c>
    </row>
    <row r="412" spans="1:10" hidden="1">
      <c r="A412">
        <v>411</v>
      </c>
      <c r="B412">
        <v>86</v>
      </c>
      <c r="C412" t="s">
        <v>12</v>
      </c>
      <c r="D412" s="1">
        <v>45350</v>
      </c>
      <c r="E412" t="s">
        <v>9</v>
      </c>
      <c r="F412" t="s">
        <v>10</v>
      </c>
      <c r="G412" t="s">
        <v>11</v>
      </c>
      <c r="H412">
        <v>957.36</v>
      </c>
      <c r="I412" t="str">
        <f t="shared" si="12"/>
        <v>Feb/2024</v>
      </c>
      <c r="J412">
        <f t="shared" si="13"/>
        <v>204654.97000000009</v>
      </c>
    </row>
    <row r="413" spans="1:10" hidden="1">
      <c r="A413">
        <v>412</v>
      </c>
      <c r="B413">
        <v>97</v>
      </c>
      <c r="C413" t="s">
        <v>12</v>
      </c>
      <c r="D413" s="1">
        <v>45324</v>
      </c>
      <c r="E413" t="s">
        <v>15</v>
      </c>
      <c r="F413" t="s">
        <v>10</v>
      </c>
      <c r="G413" t="s">
        <v>16</v>
      </c>
      <c r="H413">
        <v>66.98</v>
      </c>
      <c r="I413" t="str">
        <f t="shared" si="12"/>
        <v>Feb/2024</v>
      </c>
      <c r="J413">
        <f t="shared" si="13"/>
        <v>204721.9500000001</v>
      </c>
    </row>
    <row r="414" spans="1:10" hidden="1">
      <c r="A414">
        <v>413</v>
      </c>
      <c r="B414">
        <v>20</v>
      </c>
      <c r="C414" t="s">
        <v>8</v>
      </c>
      <c r="D414" s="1">
        <v>45387</v>
      </c>
      <c r="E414" t="s">
        <v>15</v>
      </c>
      <c r="F414" t="s">
        <v>10</v>
      </c>
      <c r="G414" t="s">
        <v>11</v>
      </c>
      <c r="H414">
        <v>608.64</v>
      </c>
      <c r="I414" t="str">
        <f t="shared" si="12"/>
        <v>Apr/2024</v>
      </c>
      <c r="J414">
        <f t="shared" si="13"/>
        <v>205330.59000000011</v>
      </c>
    </row>
    <row r="415" spans="1:10" hidden="1">
      <c r="A415">
        <v>414</v>
      </c>
      <c r="B415">
        <v>36</v>
      </c>
      <c r="C415" t="s">
        <v>8</v>
      </c>
      <c r="D415" s="1">
        <v>45326</v>
      </c>
      <c r="E415" t="s">
        <v>9</v>
      </c>
      <c r="F415" t="s">
        <v>21</v>
      </c>
      <c r="G415" t="s">
        <v>16</v>
      </c>
      <c r="H415">
        <v>75.930000000000007</v>
      </c>
      <c r="I415" t="str">
        <f t="shared" si="12"/>
        <v>Feb/2024</v>
      </c>
      <c r="J415">
        <f t="shared" si="13"/>
        <v>205406.52000000011</v>
      </c>
    </row>
    <row r="416" spans="1:10" hidden="1">
      <c r="A416">
        <v>415</v>
      </c>
      <c r="B416">
        <v>7</v>
      </c>
      <c r="C416" t="s">
        <v>8</v>
      </c>
      <c r="D416" s="1">
        <v>45455</v>
      </c>
      <c r="E416" t="s">
        <v>9</v>
      </c>
      <c r="F416" t="s">
        <v>18</v>
      </c>
      <c r="G416" t="s">
        <v>16</v>
      </c>
      <c r="H416">
        <v>477.58</v>
      </c>
      <c r="I416" t="str">
        <f t="shared" si="12"/>
        <v>Jun/2024</v>
      </c>
      <c r="J416">
        <f t="shared" si="13"/>
        <v>205884.10000000009</v>
      </c>
    </row>
    <row r="417" spans="1:10" hidden="1">
      <c r="A417">
        <v>416</v>
      </c>
      <c r="B417">
        <v>53</v>
      </c>
      <c r="C417" t="s">
        <v>19</v>
      </c>
      <c r="D417" s="1">
        <v>45429</v>
      </c>
      <c r="E417" t="s">
        <v>9</v>
      </c>
      <c r="F417" t="s">
        <v>21</v>
      </c>
      <c r="G417" t="s">
        <v>16</v>
      </c>
      <c r="H417">
        <v>252.11</v>
      </c>
      <c r="I417" t="str">
        <f t="shared" si="12"/>
        <v>May/2024</v>
      </c>
      <c r="J417">
        <f t="shared" si="13"/>
        <v>206136.21000000008</v>
      </c>
    </row>
    <row r="418" spans="1:10" hidden="1">
      <c r="A418">
        <v>417</v>
      </c>
      <c r="B418">
        <v>37</v>
      </c>
      <c r="C418" t="s">
        <v>19</v>
      </c>
      <c r="D418" s="1">
        <v>45398</v>
      </c>
      <c r="E418" t="s">
        <v>9</v>
      </c>
      <c r="F418" t="s">
        <v>18</v>
      </c>
      <c r="G418" t="s">
        <v>11</v>
      </c>
      <c r="H418">
        <v>987.71</v>
      </c>
      <c r="I418" t="str">
        <f t="shared" si="12"/>
        <v>Apr/2024</v>
      </c>
      <c r="J418">
        <f t="shared" si="13"/>
        <v>207123.92000000007</v>
      </c>
    </row>
    <row r="419" spans="1:10">
      <c r="A419">
        <v>418</v>
      </c>
      <c r="B419">
        <v>81</v>
      </c>
      <c r="C419" t="s">
        <v>12</v>
      </c>
      <c r="D419" s="1">
        <v>45374</v>
      </c>
      <c r="E419" t="s">
        <v>15</v>
      </c>
      <c r="F419" t="s">
        <v>21</v>
      </c>
      <c r="G419" t="s">
        <v>20</v>
      </c>
      <c r="H419">
        <v>464.04</v>
      </c>
      <c r="I419" t="str">
        <f t="shared" si="12"/>
        <v>Mar/2024</v>
      </c>
      <c r="J419">
        <f t="shared" si="13"/>
        <v>207587.96000000008</v>
      </c>
    </row>
    <row r="420" spans="1:10" hidden="1">
      <c r="A420">
        <v>419</v>
      </c>
      <c r="B420">
        <v>61</v>
      </c>
      <c r="C420" t="s">
        <v>12</v>
      </c>
      <c r="D420" s="1">
        <v>45335</v>
      </c>
      <c r="E420" t="s">
        <v>9</v>
      </c>
      <c r="F420" t="s">
        <v>10</v>
      </c>
      <c r="G420" t="s">
        <v>11</v>
      </c>
      <c r="H420">
        <v>694.29</v>
      </c>
      <c r="I420" t="str">
        <f t="shared" si="12"/>
        <v>Feb/2024</v>
      </c>
      <c r="J420">
        <f t="shared" si="13"/>
        <v>208282.25000000009</v>
      </c>
    </row>
    <row r="421" spans="1:10" hidden="1">
      <c r="A421">
        <v>420</v>
      </c>
      <c r="B421">
        <v>56</v>
      </c>
      <c r="C421" t="s">
        <v>8</v>
      </c>
      <c r="D421" s="1">
        <v>45402</v>
      </c>
      <c r="E421" t="s">
        <v>26</v>
      </c>
      <c r="F421" t="s">
        <v>18</v>
      </c>
      <c r="G421" t="s">
        <v>16</v>
      </c>
      <c r="H421">
        <v>829.49</v>
      </c>
      <c r="I421" t="str">
        <f t="shared" si="12"/>
        <v>Apr/2024</v>
      </c>
      <c r="J421">
        <f t="shared" si="13"/>
        <v>209111.74000000008</v>
      </c>
    </row>
    <row r="422" spans="1:10" hidden="1">
      <c r="A422">
        <v>421</v>
      </c>
      <c r="B422">
        <v>79</v>
      </c>
      <c r="C422" t="s">
        <v>12</v>
      </c>
      <c r="D422" s="1">
        <v>45300</v>
      </c>
      <c r="E422" t="s">
        <v>15</v>
      </c>
      <c r="F422" t="s">
        <v>10</v>
      </c>
      <c r="G422" t="s">
        <v>11</v>
      </c>
      <c r="H422">
        <v>466.04</v>
      </c>
      <c r="I422" t="str">
        <f t="shared" si="12"/>
        <v>Jan/2024</v>
      </c>
      <c r="J422">
        <f t="shared" si="13"/>
        <v>209577.78000000009</v>
      </c>
    </row>
    <row r="423" spans="1:10" hidden="1">
      <c r="A423">
        <v>422</v>
      </c>
      <c r="B423">
        <v>12</v>
      </c>
      <c r="C423" t="s">
        <v>12</v>
      </c>
      <c r="D423" s="1">
        <v>45393</v>
      </c>
      <c r="E423" t="s">
        <v>15</v>
      </c>
      <c r="F423" t="s">
        <v>21</v>
      </c>
      <c r="G423" t="s">
        <v>20</v>
      </c>
      <c r="H423">
        <v>101.05</v>
      </c>
      <c r="I423" t="str">
        <f t="shared" si="12"/>
        <v>Apr/2024</v>
      </c>
      <c r="J423">
        <f t="shared" si="13"/>
        <v>209678.83000000007</v>
      </c>
    </row>
    <row r="424" spans="1:10" hidden="1">
      <c r="A424">
        <v>423</v>
      </c>
      <c r="B424">
        <v>66</v>
      </c>
      <c r="C424" t="s">
        <v>19</v>
      </c>
      <c r="D424" s="1">
        <v>45295</v>
      </c>
      <c r="E424" t="s">
        <v>15</v>
      </c>
      <c r="F424" t="s">
        <v>18</v>
      </c>
      <c r="G424" t="s">
        <v>16</v>
      </c>
      <c r="H424">
        <v>748.29</v>
      </c>
      <c r="I424" t="str">
        <f t="shared" si="12"/>
        <v>Jan/2024</v>
      </c>
      <c r="J424">
        <f t="shared" si="13"/>
        <v>210427.12000000008</v>
      </c>
    </row>
    <row r="425" spans="1:10" hidden="1">
      <c r="A425">
        <v>424</v>
      </c>
      <c r="B425">
        <v>27</v>
      </c>
      <c r="C425" t="s">
        <v>8</v>
      </c>
      <c r="D425" s="1">
        <v>45378</v>
      </c>
      <c r="E425" t="s">
        <v>9</v>
      </c>
      <c r="F425" t="s">
        <v>21</v>
      </c>
      <c r="G425" t="s">
        <v>11</v>
      </c>
      <c r="H425">
        <v>438.54</v>
      </c>
      <c r="I425" t="str">
        <f t="shared" si="12"/>
        <v>Mar/2024</v>
      </c>
      <c r="J425">
        <f t="shared" si="13"/>
        <v>210865.66000000009</v>
      </c>
    </row>
    <row r="426" spans="1:10" hidden="1">
      <c r="A426">
        <v>425</v>
      </c>
      <c r="B426">
        <v>88</v>
      </c>
      <c r="C426" t="s">
        <v>12</v>
      </c>
      <c r="D426" s="1">
        <v>45347</v>
      </c>
      <c r="E426" t="s">
        <v>9</v>
      </c>
      <c r="F426" t="s">
        <v>21</v>
      </c>
      <c r="G426" t="s">
        <v>11</v>
      </c>
      <c r="H426">
        <v>834.57</v>
      </c>
      <c r="I426" t="str">
        <f t="shared" si="12"/>
        <v>Feb/2024</v>
      </c>
      <c r="J426">
        <f t="shared" si="13"/>
        <v>211700.2300000001</v>
      </c>
    </row>
    <row r="427" spans="1:10" hidden="1">
      <c r="A427">
        <v>426</v>
      </c>
      <c r="B427">
        <v>62</v>
      </c>
      <c r="C427" t="s">
        <v>12</v>
      </c>
      <c r="D427" s="1">
        <v>45435</v>
      </c>
      <c r="E427" t="s">
        <v>15</v>
      </c>
      <c r="F427" t="s">
        <v>18</v>
      </c>
      <c r="G427" t="s">
        <v>20</v>
      </c>
      <c r="H427">
        <v>655.02</v>
      </c>
      <c r="I427" t="str">
        <f t="shared" si="12"/>
        <v>May/2024</v>
      </c>
      <c r="J427">
        <f t="shared" si="13"/>
        <v>212355.25000000009</v>
      </c>
    </row>
    <row r="428" spans="1:10" hidden="1">
      <c r="A428">
        <v>427</v>
      </c>
      <c r="B428">
        <v>10</v>
      </c>
      <c r="C428" t="s">
        <v>8</v>
      </c>
      <c r="D428" s="1">
        <v>45373</v>
      </c>
      <c r="E428" t="s">
        <v>26</v>
      </c>
      <c r="F428" t="s">
        <v>18</v>
      </c>
      <c r="G428" t="s">
        <v>20</v>
      </c>
      <c r="H428">
        <v>342.61</v>
      </c>
      <c r="I428" t="str">
        <f t="shared" si="12"/>
        <v>Mar/2024</v>
      </c>
      <c r="J428">
        <f t="shared" si="13"/>
        <v>212697.86000000007</v>
      </c>
    </row>
    <row r="429" spans="1:10" hidden="1">
      <c r="A429">
        <v>428</v>
      </c>
      <c r="B429">
        <v>61</v>
      </c>
      <c r="C429" t="s">
        <v>8</v>
      </c>
      <c r="D429" s="1">
        <v>45377</v>
      </c>
      <c r="E429" t="s">
        <v>15</v>
      </c>
      <c r="F429" t="s">
        <v>18</v>
      </c>
      <c r="G429" t="s">
        <v>11</v>
      </c>
      <c r="H429">
        <v>539.5</v>
      </c>
      <c r="I429" t="str">
        <f t="shared" si="12"/>
        <v>Mar/2024</v>
      </c>
      <c r="J429">
        <f t="shared" si="13"/>
        <v>213237.36000000007</v>
      </c>
    </row>
    <row r="430" spans="1:10" hidden="1">
      <c r="A430">
        <v>429</v>
      </c>
      <c r="B430">
        <v>15</v>
      </c>
      <c r="C430" t="s">
        <v>12</v>
      </c>
      <c r="D430" s="1">
        <v>45462</v>
      </c>
      <c r="E430" t="s">
        <v>9</v>
      </c>
      <c r="F430" t="s">
        <v>21</v>
      </c>
      <c r="G430" t="s">
        <v>11</v>
      </c>
      <c r="H430">
        <v>487.41</v>
      </c>
      <c r="I430" t="str">
        <f t="shared" si="12"/>
        <v>Jun/2024</v>
      </c>
      <c r="J430">
        <f t="shared" si="13"/>
        <v>213724.77000000008</v>
      </c>
    </row>
    <row r="431" spans="1:10" hidden="1">
      <c r="A431">
        <v>430</v>
      </c>
      <c r="B431">
        <v>72</v>
      </c>
      <c r="C431" t="s">
        <v>8</v>
      </c>
      <c r="D431" s="1">
        <v>45470</v>
      </c>
      <c r="E431" t="s">
        <v>26</v>
      </c>
      <c r="F431" t="s">
        <v>10</v>
      </c>
      <c r="G431" t="s">
        <v>16</v>
      </c>
      <c r="H431">
        <v>212.86</v>
      </c>
      <c r="I431" t="str">
        <f t="shared" si="12"/>
        <v>Jun/2024</v>
      </c>
      <c r="J431">
        <f t="shared" si="13"/>
        <v>213937.63000000006</v>
      </c>
    </row>
    <row r="432" spans="1:10" hidden="1">
      <c r="A432">
        <v>431</v>
      </c>
      <c r="B432">
        <v>77</v>
      </c>
      <c r="C432" t="s">
        <v>12</v>
      </c>
      <c r="D432" s="1">
        <v>45425</v>
      </c>
      <c r="E432" t="s">
        <v>26</v>
      </c>
      <c r="F432" t="s">
        <v>18</v>
      </c>
      <c r="G432" t="s">
        <v>11</v>
      </c>
      <c r="H432">
        <v>873.59</v>
      </c>
      <c r="I432" t="str">
        <f t="shared" si="12"/>
        <v>May/2024</v>
      </c>
      <c r="J432">
        <f t="shared" si="13"/>
        <v>214811.22000000006</v>
      </c>
    </row>
    <row r="433" spans="1:10" hidden="1">
      <c r="A433">
        <v>432</v>
      </c>
      <c r="B433">
        <v>56</v>
      </c>
      <c r="C433" t="s">
        <v>19</v>
      </c>
      <c r="D433" s="1">
        <v>45347</v>
      </c>
      <c r="E433" t="s">
        <v>26</v>
      </c>
      <c r="F433" t="s">
        <v>21</v>
      </c>
      <c r="G433" t="s">
        <v>16</v>
      </c>
      <c r="H433">
        <v>389.21</v>
      </c>
      <c r="I433" t="str">
        <f t="shared" si="12"/>
        <v>Feb/2024</v>
      </c>
      <c r="J433">
        <f t="shared" si="13"/>
        <v>215200.43000000005</v>
      </c>
    </row>
    <row r="434" spans="1:10" hidden="1">
      <c r="A434">
        <v>433</v>
      </c>
      <c r="B434">
        <v>18</v>
      </c>
      <c r="C434" t="s">
        <v>19</v>
      </c>
      <c r="D434" s="1">
        <v>45415</v>
      </c>
      <c r="E434" t="s">
        <v>9</v>
      </c>
      <c r="F434" t="s">
        <v>10</v>
      </c>
      <c r="G434" t="s">
        <v>16</v>
      </c>
      <c r="H434">
        <v>34.479999999999997</v>
      </c>
      <c r="I434" t="str">
        <f t="shared" si="12"/>
        <v>May/2024</v>
      </c>
      <c r="J434">
        <f t="shared" si="13"/>
        <v>215234.91000000006</v>
      </c>
    </row>
    <row r="435" spans="1:10" hidden="1">
      <c r="A435">
        <v>434</v>
      </c>
      <c r="B435">
        <v>42</v>
      </c>
      <c r="C435" t="s">
        <v>12</v>
      </c>
      <c r="D435" s="1">
        <v>45424</v>
      </c>
      <c r="E435" t="s">
        <v>26</v>
      </c>
      <c r="F435" t="s">
        <v>10</v>
      </c>
      <c r="G435" t="s">
        <v>20</v>
      </c>
      <c r="H435">
        <v>235.97</v>
      </c>
      <c r="I435" t="str">
        <f t="shared" si="12"/>
        <v>May/2024</v>
      </c>
      <c r="J435">
        <f t="shared" si="13"/>
        <v>215470.88000000006</v>
      </c>
    </row>
    <row r="436" spans="1:10" hidden="1">
      <c r="A436">
        <v>435</v>
      </c>
      <c r="B436">
        <v>41</v>
      </c>
      <c r="C436" t="s">
        <v>8</v>
      </c>
      <c r="D436" s="1">
        <v>45390</v>
      </c>
      <c r="E436" t="s">
        <v>26</v>
      </c>
      <c r="F436" t="s">
        <v>21</v>
      </c>
      <c r="G436" t="s">
        <v>11</v>
      </c>
      <c r="H436">
        <v>575.15</v>
      </c>
      <c r="I436" t="str">
        <f t="shared" si="12"/>
        <v>Apr/2024</v>
      </c>
      <c r="J436">
        <f t="shared" si="13"/>
        <v>216046.03000000006</v>
      </c>
    </row>
    <row r="437" spans="1:10" hidden="1">
      <c r="A437">
        <v>436</v>
      </c>
      <c r="B437">
        <v>44</v>
      </c>
      <c r="C437" t="s">
        <v>8</v>
      </c>
      <c r="D437" s="1">
        <v>45461</v>
      </c>
      <c r="E437" t="s">
        <v>26</v>
      </c>
      <c r="F437" t="s">
        <v>10</v>
      </c>
      <c r="G437" t="s">
        <v>11</v>
      </c>
      <c r="H437">
        <v>182.54</v>
      </c>
      <c r="I437" t="str">
        <f t="shared" si="12"/>
        <v>Jun/2024</v>
      </c>
      <c r="J437">
        <f t="shared" si="13"/>
        <v>216228.57000000007</v>
      </c>
    </row>
    <row r="438" spans="1:10" hidden="1">
      <c r="A438">
        <v>437</v>
      </c>
      <c r="B438">
        <v>82</v>
      </c>
      <c r="C438" t="s">
        <v>19</v>
      </c>
      <c r="D438" s="1">
        <v>45418</v>
      </c>
      <c r="E438" t="s">
        <v>9</v>
      </c>
      <c r="F438" t="s">
        <v>10</v>
      </c>
      <c r="G438" t="s">
        <v>16</v>
      </c>
      <c r="H438">
        <v>752.8</v>
      </c>
      <c r="I438" t="str">
        <f t="shared" si="12"/>
        <v>May/2024</v>
      </c>
      <c r="J438">
        <f t="shared" si="13"/>
        <v>216981.37000000005</v>
      </c>
    </row>
    <row r="439" spans="1:10" hidden="1">
      <c r="A439">
        <v>438</v>
      </c>
      <c r="B439">
        <v>39</v>
      </c>
      <c r="C439" t="s">
        <v>12</v>
      </c>
      <c r="D439" s="1">
        <v>45303</v>
      </c>
      <c r="E439" t="s">
        <v>9</v>
      </c>
      <c r="F439" t="s">
        <v>18</v>
      </c>
      <c r="G439" t="s">
        <v>11</v>
      </c>
      <c r="H439">
        <v>214.33</v>
      </c>
      <c r="I439" t="str">
        <f t="shared" si="12"/>
        <v>Jan/2024</v>
      </c>
      <c r="J439">
        <f t="shared" si="13"/>
        <v>217195.70000000004</v>
      </c>
    </row>
    <row r="440" spans="1:10" hidden="1">
      <c r="A440">
        <v>439</v>
      </c>
      <c r="B440">
        <v>63</v>
      </c>
      <c r="C440" t="s">
        <v>12</v>
      </c>
      <c r="D440" s="1">
        <v>45364</v>
      </c>
      <c r="E440" t="s">
        <v>26</v>
      </c>
      <c r="F440" t="s">
        <v>21</v>
      </c>
      <c r="G440" t="s">
        <v>11</v>
      </c>
      <c r="H440">
        <v>716.26</v>
      </c>
      <c r="I440" t="str">
        <f t="shared" si="12"/>
        <v>Mar/2024</v>
      </c>
      <c r="J440">
        <f t="shared" si="13"/>
        <v>217911.96000000005</v>
      </c>
    </row>
    <row r="441" spans="1:10" hidden="1">
      <c r="A441">
        <v>440</v>
      </c>
      <c r="B441">
        <v>78</v>
      </c>
      <c r="C441" t="s">
        <v>8</v>
      </c>
      <c r="D441" s="1">
        <v>45354</v>
      </c>
      <c r="E441" t="s">
        <v>26</v>
      </c>
      <c r="F441" t="s">
        <v>18</v>
      </c>
      <c r="G441" t="s">
        <v>11</v>
      </c>
      <c r="H441">
        <v>608.46</v>
      </c>
      <c r="I441" t="str">
        <f t="shared" si="12"/>
        <v>Mar/2024</v>
      </c>
      <c r="J441">
        <f t="shared" si="13"/>
        <v>218520.42000000004</v>
      </c>
    </row>
    <row r="442" spans="1:10" hidden="1">
      <c r="A442">
        <v>441</v>
      </c>
      <c r="B442">
        <v>92</v>
      </c>
      <c r="C442" t="s">
        <v>8</v>
      </c>
      <c r="D442" s="1">
        <v>45461</v>
      </c>
      <c r="E442" t="s">
        <v>15</v>
      </c>
      <c r="F442" t="s">
        <v>21</v>
      </c>
      <c r="G442" t="s">
        <v>16</v>
      </c>
      <c r="H442">
        <v>255.47</v>
      </c>
      <c r="I442" t="str">
        <f t="shared" si="12"/>
        <v>Jun/2024</v>
      </c>
      <c r="J442">
        <f t="shared" si="13"/>
        <v>218775.89000000004</v>
      </c>
    </row>
    <row r="443" spans="1:10" hidden="1">
      <c r="A443">
        <v>442</v>
      </c>
      <c r="B443">
        <v>92</v>
      </c>
      <c r="C443" t="s">
        <v>8</v>
      </c>
      <c r="D443" s="1">
        <v>45328</v>
      </c>
      <c r="E443" t="s">
        <v>9</v>
      </c>
      <c r="F443" t="s">
        <v>10</v>
      </c>
      <c r="G443" t="s">
        <v>20</v>
      </c>
      <c r="H443">
        <v>914.32</v>
      </c>
      <c r="I443" t="str">
        <f t="shared" si="12"/>
        <v>Feb/2024</v>
      </c>
      <c r="J443">
        <f t="shared" si="13"/>
        <v>219690.21000000005</v>
      </c>
    </row>
    <row r="444" spans="1:10" hidden="1">
      <c r="A444">
        <v>443</v>
      </c>
      <c r="B444">
        <v>16</v>
      </c>
      <c r="C444" t="s">
        <v>19</v>
      </c>
      <c r="D444" s="1">
        <v>45468</v>
      </c>
      <c r="E444" t="s">
        <v>15</v>
      </c>
      <c r="F444" t="s">
        <v>18</v>
      </c>
      <c r="G444" t="s">
        <v>16</v>
      </c>
      <c r="H444">
        <v>519.15</v>
      </c>
      <c r="I444" t="str">
        <f t="shared" si="12"/>
        <v>Jun/2024</v>
      </c>
      <c r="J444">
        <f t="shared" si="13"/>
        <v>220209.36000000004</v>
      </c>
    </row>
    <row r="445" spans="1:10" hidden="1">
      <c r="A445">
        <v>444</v>
      </c>
      <c r="B445">
        <v>63</v>
      </c>
      <c r="C445" t="s">
        <v>12</v>
      </c>
      <c r="D445" s="1">
        <v>45330</v>
      </c>
      <c r="E445" t="s">
        <v>15</v>
      </c>
      <c r="F445" t="s">
        <v>21</v>
      </c>
      <c r="G445" t="s">
        <v>20</v>
      </c>
      <c r="H445">
        <v>816.09</v>
      </c>
      <c r="I445" t="str">
        <f t="shared" si="12"/>
        <v>Feb/2024</v>
      </c>
      <c r="J445">
        <f t="shared" si="13"/>
        <v>221025.45000000004</v>
      </c>
    </row>
    <row r="446" spans="1:10" hidden="1">
      <c r="A446">
        <v>445</v>
      </c>
      <c r="B446">
        <v>65</v>
      </c>
      <c r="C446" t="s">
        <v>12</v>
      </c>
      <c r="D446" s="1">
        <v>45374</v>
      </c>
      <c r="E446" t="s">
        <v>9</v>
      </c>
      <c r="F446" t="s">
        <v>10</v>
      </c>
      <c r="G446" t="s">
        <v>20</v>
      </c>
      <c r="H446">
        <v>481.11</v>
      </c>
      <c r="I446" t="str">
        <f t="shared" si="12"/>
        <v>Mar/2024</v>
      </c>
      <c r="J446">
        <f t="shared" si="13"/>
        <v>221506.56000000003</v>
      </c>
    </row>
    <row r="447" spans="1:10" hidden="1">
      <c r="A447">
        <v>446</v>
      </c>
      <c r="B447">
        <v>60</v>
      </c>
      <c r="C447" t="s">
        <v>19</v>
      </c>
      <c r="D447" s="1">
        <v>45311</v>
      </c>
      <c r="E447" t="s">
        <v>9</v>
      </c>
      <c r="F447" t="s">
        <v>21</v>
      </c>
      <c r="G447" t="s">
        <v>16</v>
      </c>
      <c r="H447">
        <v>780.05</v>
      </c>
      <c r="I447" t="str">
        <f t="shared" si="12"/>
        <v>Jan/2024</v>
      </c>
      <c r="J447">
        <f t="shared" si="13"/>
        <v>222286.61000000002</v>
      </c>
    </row>
    <row r="448" spans="1:10" hidden="1">
      <c r="A448">
        <v>447</v>
      </c>
      <c r="B448">
        <v>58</v>
      </c>
      <c r="C448" t="s">
        <v>8</v>
      </c>
      <c r="D448" s="1">
        <v>45300</v>
      </c>
      <c r="E448" t="s">
        <v>15</v>
      </c>
      <c r="F448" t="s">
        <v>10</v>
      </c>
      <c r="G448" t="s">
        <v>16</v>
      </c>
      <c r="H448">
        <v>750.51</v>
      </c>
      <c r="I448" t="str">
        <f t="shared" si="12"/>
        <v>Jan/2024</v>
      </c>
      <c r="J448">
        <f t="shared" si="13"/>
        <v>223037.12000000002</v>
      </c>
    </row>
    <row r="449" spans="1:10" hidden="1">
      <c r="A449">
        <v>448</v>
      </c>
      <c r="B449">
        <v>69</v>
      </c>
      <c r="C449" t="s">
        <v>12</v>
      </c>
      <c r="D449" s="1">
        <v>45422</v>
      </c>
      <c r="E449" t="s">
        <v>9</v>
      </c>
      <c r="F449" t="s">
        <v>21</v>
      </c>
      <c r="G449" t="s">
        <v>20</v>
      </c>
      <c r="H449">
        <v>908.59</v>
      </c>
      <c r="I449" t="str">
        <f t="shared" si="12"/>
        <v>May/2024</v>
      </c>
      <c r="J449">
        <f t="shared" si="13"/>
        <v>223945.71000000002</v>
      </c>
    </row>
    <row r="450" spans="1:10" hidden="1">
      <c r="A450">
        <v>449</v>
      </c>
      <c r="B450">
        <v>7</v>
      </c>
      <c r="C450" t="s">
        <v>12</v>
      </c>
      <c r="D450" s="1">
        <v>45361</v>
      </c>
      <c r="E450" t="s">
        <v>9</v>
      </c>
      <c r="F450" t="s">
        <v>21</v>
      </c>
      <c r="G450" t="s">
        <v>11</v>
      </c>
      <c r="H450">
        <v>705.47</v>
      </c>
      <c r="I450" t="str">
        <f t="shared" si="12"/>
        <v>Mar/2024</v>
      </c>
      <c r="J450">
        <f t="shared" si="13"/>
        <v>224651.18000000002</v>
      </c>
    </row>
    <row r="451" spans="1:10" hidden="1">
      <c r="A451">
        <v>450</v>
      </c>
      <c r="B451">
        <v>80</v>
      </c>
      <c r="C451" t="s">
        <v>12</v>
      </c>
      <c r="D451" s="1">
        <v>45405</v>
      </c>
      <c r="E451" t="s">
        <v>15</v>
      </c>
      <c r="F451" t="s">
        <v>10</v>
      </c>
      <c r="G451" t="s">
        <v>16</v>
      </c>
      <c r="H451">
        <v>406.28</v>
      </c>
      <c r="I451" t="str">
        <f t="shared" ref="I451:I514" si="14">TEXT(D451,"mmm/yyyy")</f>
        <v>Apr/2024</v>
      </c>
      <c r="J451">
        <f t="shared" si="13"/>
        <v>225057.46000000002</v>
      </c>
    </row>
    <row r="452" spans="1:10" hidden="1">
      <c r="A452">
        <v>451</v>
      </c>
      <c r="B452">
        <v>55</v>
      </c>
      <c r="C452" t="s">
        <v>12</v>
      </c>
      <c r="D452" s="1">
        <v>45293</v>
      </c>
      <c r="E452" t="s">
        <v>15</v>
      </c>
      <c r="F452" t="s">
        <v>18</v>
      </c>
      <c r="G452" t="s">
        <v>20</v>
      </c>
      <c r="H452">
        <v>295.41000000000003</v>
      </c>
      <c r="I452" t="str">
        <f t="shared" si="14"/>
        <v>Jan/2024</v>
      </c>
      <c r="J452">
        <f t="shared" ref="J452:J515" si="15">J451+H452</f>
        <v>225352.87000000002</v>
      </c>
    </row>
    <row r="453" spans="1:10" hidden="1">
      <c r="A453">
        <v>452</v>
      </c>
      <c r="B453">
        <v>6</v>
      </c>
      <c r="C453" t="s">
        <v>8</v>
      </c>
      <c r="D453" s="1">
        <v>45355</v>
      </c>
      <c r="E453" t="s">
        <v>15</v>
      </c>
      <c r="F453" t="s">
        <v>18</v>
      </c>
      <c r="G453" t="s">
        <v>11</v>
      </c>
      <c r="H453">
        <v>903.36</v>
      </c>
      <c r="I453" t="str">
        <f t="shared" si="14"/>
        <v>Mar/2024</v>
      </c>
      <c r="J453">
        <f t="shared" si="15"/>
        <v>226256.23</v>
      </c>
    </row>
    <row r="454" spans="1:10" hidden="1">
      <c r="A454">
        <v>453</v>
      </c>
      <c r="B454">
        <v>86</v>
      </c>
      <c r="C454" t="s">
        <v>8</v>
      </c>
      <c r="D454" s="1">
        <v>45429</v>
      </c>
      <c r="E454" t="s">
        <v>9</v>
      </c>
      <c r="F454" t="s">
        <v>21</v>
      </c>
      <c r="G454" t="s">
        <v>20</v>
      </c>
      <c r="H454">
        <v>803.65</v>
      </c>
      <c r="I454" t="str">
        <f t="shared" si="14"/>
        <v>May/2024</v>
      </c>
      <c r="J454">
        <f t="shared" si="15"/>
        <v>227059.88</v>
      </c>
    </row>
    <row r="455" spans="1:10" hidden="1">
      <c r="A455">
        <v>454</v>
      </c>
      <c r="B455">
        <v>70</v>
      </c>
      <c r="C455" t="s">
        <v>12</v>
      </c>
      <c r="D455" s="1">
        <v>45381</v>
      </c>
      <c r="E455" t="s">
        <v>9</v>
      </c>
      <c r="F455" t="s">
        <v>21</v>
      </c>
      <c r="G455" t="s">
        <v>16</v>
      </c>
      <c r="H455">
        <v>359.69</v>
      </c>
      <c r="I455" t="str">
        <f t="shared" si="14"/>
        <v>Mar/2024</v>
      </c>
      <c r="J455">
        <f t="shared" si="15"/>
        <v>227419.57</v>
      </c>
    </row>
    <row r="456" spans="1:10" hidden="1">
      <c r="A456">
        <v>455</v>
      </c>
      <c r="B456">
        <v>50</v>
      </c>
      <c r="C456" t="s">
        <v>8</v>
      </c>
      <c r="D456" s="1">
        <v>45381</v>
      </c>
      <c r="E456" t="s">
        <v>9</v>
      </c>
      <c r="F456" t="s">
        <v>21</v>
      </c>
      <c r="G456" t="s">
        <v>20</v>
      </c>
      <c r="H456">
        <v>699.69</v>
      </c>
      <c r="I456" t="str">
        <f t="shared" si="14"/>
        <v>Mar/2024</v>
      </c>
      <c r="J456">
        <f t="shared" si="15"/>
        <v>228119.26</v>
      </c>
    </row>
    <row r="457" spans="1:10" hidden="1">
      <c r="A457">
        <v>456</v>
      </c>
      <c r="B457">
        <v>20</v>
      </c>
      <c r="C457" t="s">
        <v>8</v>
      </c>
      <c r="D457" s="1">
        <v>45387</v>
      </c>
      <c r="E457" t="s">
        <v>26</v>
      </c>
      <c r="F457" t="s">
        <v>18</v>
      </c>
      <c r="G457" t="s">
        <v>20</v>
      </c>
      <c r="H457">
        <v>281.81</v>
      </c>
      <c r="I457" t="str">
        <f t="shared" si="14"/>
        <v>Apr/2024</v>
      </c>
      <c r="J457">
        <f t="shared" si="15"/>
        <v>228401.07</v>
      </c>
    </row>
    <row r="458" spans="1:10" hidden="1">
      <c r="A458">
        <v>457</v>
      </c>
      <c r="B458">
        <v>63</v>
      </c>
      <c r="C458" t="s">
        <v>8</v>
      </c>
      <c r="D458" s="1">
        <v>45393</v>
      </c>
      <c r="E458" t="s">
        <v>26</v>
      </c>
      <c r="F458" t="s">
        <v>10</v>
      </c>
      <c r="G458" t="s">
        <v>16</v>
      </c>
      <c r="H458">
        <v>896.04</v>
      </c>
      <c r="I458" t="str">
        <f t="shared" si="14"/>
        <v>Apr/2024</v>
      </c>
      <c r="J458">
        <f t="shared" si="15"/>
        <v>229297.11000000002</v>
      </c>
    </row>
    <row r="459" spans="1:10" hidden="1">
      <c r="A459">
        <v>458</v>
      </c>
      <c r="B459">
        <v>66</v>
      </c>
      <c r="C459" t="s">
        <v>12</v>
      </c>
      <c r="D459" s="1">
        <v>45405</v>
      </c>
      <c r="E459" t="s">
        <v>15</v>
      </c>
      <c r="F459" t="s">
        <v>21</v>
      </c>
      <c r="G459" t="s">
        <v>11</v>
      </c>
      <c r="H459">
        <v>587.69000000000005</v>
      </c>
      <c r="I459" t="str">
        <f t="shared" si="14"/>
        <v>Apr/2024</v>
      </c>
      <c r="J459">
        <f t="shared" si="15"/>
        <v>229884.80000000002</v>
      </c>
    </row>
    <row r="460" spans="1:10" hidden="1">
      <c r="A460">
        <v>459</v>
      </c>
      <c r="B460">
        <v>64</v>
      </c>
      <c r="C460" t="s">
        <v>12</v>
      </c>
      <c r="D460" s="1">
        <v>45348</v>
      </c>
      <c r="E460" t="s">
        <v>9</v>
      </c>
      <c r="F460" t="s">
        <v>21</v>
      </c>
      <c r="G460" t="s">
        <v>16</v>
      </c>
      <c r="H460">
        <v>623.52</v>
      </c>
      <c r="I460" t="str">
        <f t="shared" si="14"/>
        <v>Feb/2024</v>
      </c>
      <c r="J460">
        <f t="shared" si="15"/>
        <v>230508.32</v>
      </c>
    </row>
    <row r="461" spans="1:10" hidden="1">
      <c r="A461">
        <v>460</v>
      </c>
      <c r="B461">
        <v>66</v>
      </c>
      <c r="C461" t="s">
        <v>8</v>
      </c>
      <c r="D461" s="1">
        <v>45454</v>
      </c>
      <c r="E461" t="s">
        <v>9</v>
      </c>
      <c r="F461" t="s">
        <v>10</v>
      </c>
      <c r="G461" t="s">
        <v>11</v>
      </c>
      <c r="H461">
        <v>668.05</v>
      </c>
      <c r="I461" t="str">
        <f t="shared" si="14"/>
        <v>Jun/2024</v>
      </c>
      <c r="J461">
        <f t="shared" si="15"/>
        <v>231176.37</v>
      </c>
    </row>
    <row r="462" spans="1:10" hidden="1">
      <c r="A462">
        <v>461</v>
      </c>
      <c r="B462">
        <v>95</v>
      </c>
      <c r="C462" t="s">
        <v>12</v>
      </c>
      <c r="D462" s="1">
        <v>45353</v>
      </c>
      <c r="E462" t="s">
        <v>15</v>
      </c>
      <c r="F462" t="s">
        <v>10</v>
      </c>
      <c r="G462" t="s">
        <v>11</v>
      </c>
      <c r="H462">
        <v>571.02</v>
      </c>
      <c r="I462" t="str">
        <f t="shared" si="14"/>
        <v>Mar/2024</v>
      </c>
      <c r="J462">
        <f t="shared" si="15"/>
        <v>231747.38999999998</v>
      </c>
    </row>
    <row r="463" spans="1:10" hidden="1">
      <c r="A463">
        <v>462</v>
      </c>
      <c r="B463">
        <v>56</v>
      </c>
      <c r="C463" t="s">
        <v>8</v>
      </c>
      <c r="D463" s="1">
        <v>45340</v>
      </c>
      <c r="E463" t="s">
        <v>15</v>
      </c>
      <c r="F463" t="s">
        <v>10</v>
      </c>
      <c r="G463" t="s">
        <v>20</v>
      </c>
      <c r="H463">
        <v>918.39</v>
      </c>
      <c r="I463" t="str">
        <f t="shared" si="14"/>
        <v>Feb/2024</v>
      </c>
      <c r="J463">
        <f t="shared" si="15"/>
        <v>232665.78</v>
      </c>
    </row>
    <row r="464" spans="1:10" hidden="1">
      <c r="A464">
        <v>463</v>
      </c>
      <c r="B464">
        <v>75</v>
      </c>
      <c r="C464" t="s">
        <v>12</v>
      </c>
      <c r="D464" s="1">
        <v>45366</v>
      </c>
      <c r="E464" t="s">
        <v>26</v>
      </c>
      <c r="F464" t="s">
        <v>10</v>
      </c>
      <c r="G464" t="s">
        <v>16</v>
      </c>
      <c r="H464">
        <v>669.62</v>
      </c>
      <c r="I464" t="str">
        <f t="shared" si="14"/>
        <v>Mar/2024</v>
      </c>
      <c r="J464">
        <f t="shared" si="15"/>
        <v>233335.4</v>
      </c>
    </row>
    <row r="465" spans="1:10">
      <c r="A465">
        <v>464</v>
      </c>
      <c r="B465">
        <v>81</v>
      </c>
      <c r="C465" t="s">
        <v>12</v>
      </c>
      <c r="D465" s="1">
        <v>45318</v>
      </c>
      <c r="E465" t="s">
        <v>9</v>
      </c>
      <c r="F465" t="s">
        <v>21</v>
      </c>
      <c r="G465" t="s">
        <v>11</v>
      </c>
      <c r="H465">
        <v>581.01</v>
      </c>
      <c r="I465" t="str">
        <f t="shared" si="14"/>
        <v>Jan/2024</v>
      </c>
      <c r="J465">
        <f t="shared" si="15"/>
        <v>233916.41</v>
      </c>
    </row>
    <row r="466" spans="1:10" hidden="1">
      <c r="A466">
        <v>465</v>
      </c>
      <c r="B466">
        <v>39</v>
      </c>
      <c r="C466" t="s">
        <v>8</v>
      </c>
      <c r="D466" s="1">
        <v>45432</v>
      </c>
      <c r="E466" t="s">
        <v>15</v>
      </c>
      <c r="F466" t="s">
        <v>10</v>
      </c>
      <c r="G466" t="s">
        <v>20</v>
      </c>
      <c r="H466">
        <v>899.45</v>
      </c>
      <c r="I466" t="str">
        <f t="shared" si="14"/>
        <v>May/2024</v>
      </c>
      <c r="J466">
        <f t="shared" si="15"/>
        <v>234815.86000000002</v>
      </c>
    </row>
    <row r="467" spans="1:10" hidden="1">
      <c r="A467">
        <v>466</v>
      </c>
      <c r="B467">
        <v>57</v>
      </c>
      <c r="C467" t="s">
        <v>19</v>
      </c>
      <c r="D467" s="1">
        <v>45296</v>
      </c>
      <c r="E467" t="s">
        <v>26</v>
      </c>
      <c r="F467" t="s">
        <v>18</v>
      </c>
      <c r="G467" t="s">
        <v>11</v>
      </c>
      <c r="H467">
        <v>764.59</v>
      </c>
      <c r="I467" t="str">
        <f t="shared" si="14"/>
        <v>Jan/2024</v>
      </c>
      <c r="J467">
        <f t="shared" si="15"/>
        <v>235580.45</v>
      </c>
    </row>
    <row r="468" spans="1:10" hidden="1">
      <c r="A468">
        <v>467</v>
      </c>
      <c r="B468">
        <v>83</v>
      </c>
      <c r="C468" t="s">
        <v>19</v>
      </c>
      <c r="D468" s="1">
        <v>45350</v>
      </c>
      <c r="E468" t="s">
        <v>15</v>
      </c>
      <c r="F468" t="s">
        <v>21</v>
      </c>
      <c r="G468" t="s">
        <v>16</v>
      </c>
      <c r="H468">
        <v>150.16</v>
      </c>
      <c r="I468" t="str">
        <f t="shared" si="14"/>
        <v>Feb/2024</v>
      </c>
      <c r="J468">
        <f t="shared" si="15"/>
        <v>235730.61000000002</v>
      </c>
    </row>
    <row r="469" spans="1:10" hidden="1">
      <c r="A469">
        <v>468</v>
      </c>
      <c r="B469">
        <v>98</v>
      </c>
      <c r="C469" t="s">
        <v>12</v>
      </c>
      <c r="D469" s="1">
        <v>45377</v>
      </c>
      <c r="E469" t="s">
        <v>15</v>
      </c>
      <c r="F469" t="s">
        <v>10</v>
      </c>
      <c r="G469" t="s">
        <v>11</v>
      </c>
      <c r="H469">
        <v>791.72</v>
      </c>
      <c r="I469" t="str">
        <f t="shared" si="14"/>
        <v>Mar/2024</v>
      </c>
      <c r="J469">
        <f t="shared" si="15"/>
        <v>236522.33000000002</v>
      </c>
    </row>
    <row r="470" spans="1:10" hidden="1">
      <c r="A470">
        <v>469</v>
      </c>
      <c r="B470">
        <v>90</v>
      </c>
      <c r="C470" t="s">
        <v>12</v>
      </c>
      <c r="D470" s="1">
        <v>45410</v>
      </c>
      <c r="E470" t="s">
        <v>26</v>
      </c>
      <c r="F470" t="s">
        <v>21</v>
      </c>
      <c r="G470" t="s">
        <v>20</v>
      </c>
      <c r="H470">
        <v>15.1</v>
      </c>
      <c r="I470" t="str">
        <f t="shared" si="14"/>
        <v>Apr/2024</v>
      </c>
      <c r="J470">
        <f t="shared" si="15"/>
        <v>236537.43000000002</v>
      </c>
    </row>
    <row r="471" spans="1:10" hidden="1">
      <c r="A471">
        <v>470</v>
      </c>
      <c r="B471">
        <v>76</v>
      </c>
      <c r="C471" t="s">
        <v>8</v>
      </c>
      <c r="D471" s="1">
        <v>45344</v>
      </c>
      <c r="E471" t="s">
        <v>9</v>
      </c>
      <c r="F471" t="s">
        <v>10</v>
      </c>
      <c r="G471" t="s">
        <v>11</v>
      </c>
      <c r="H471">
        <v>466.92</v>
      </c>
      <c r="I471" t="str">
        <f t="shared" si="14"/>
        <v>Feb/2024</v>
      </c>
      <c r="J471">
        <f t="shared" si="15"/>
        <v>237004.35000000003</v>
      </c>
    </row>
    <row r="472" spans="1:10" hidden="1">
      <c r="A472">
        <v>471</v>
      </c>
      <c r="B472">
        <v>89</v>
      </c>
      <c r="C472" t="s">
        <v>19</v>
      </c>
      <c r="D472" s="1">
        <v>45375</v>
      </c>
      <c r="E472" t="s">
        <v>15</v>
      </c>
      <c r="F472" t="s">
        <v>10</v>
      </c>
      <c r="G472" t="s">
        <v>20</v>
      </c>
      <c r="H472">
        <v>833.02</v>
      </c>
      <c r="I472" t="str">
        <f t="shared" si="14"/>
        <v>Mar/2024</v>
      </c>
      <c r="J472">
        <f t="shared" si="15"/>
        <v>237837.37000000002</v>
      </c>
    </row>
    <row r="473" spans="1:10" hidden="1">
      <c r="A473">
        <v>472</v>
      </c>
      <c r="B473">
        <v>43</v>
      </c>
      <c r="C473" t="s">
        <v>12</v>
      </c>
      <c r="D473" s="1">
        <v>45375</v>
      </c>
      <c r="E473" t="s">
        <v>15</v>
      </c>
      <c r="F473" t="s">
        <v>18</v>
      </c>
      <c r="G473" t="s">
        <v>11</v>
      </c>
      <c r="H473">
        <v>907.98</v>
      </c>
      <c r="I473" t="str">
        <f t="shared" si="14"/>
        <v>Mar/2024</v>
      </c>
      <c r="J473">
        <f t="shared" si="15"/>
        <v>238745.35000000003</v>
      </c>
    </row>
    <row r="474" spans="1:10" hidden="1">
      <c r="A474">
        <v>473</v>
      </c>
      <c r="B474">
        <v>38</v>
      </c>
      <c r="C474" t="s">
        <v>8</v>
      </c>
      <c r="D474" s="1">
        <v>45347</v>
      </c>
      <c r="E474" t="s">
        <v>15</v>
      </c>
      <c r="F474" t="s">
        <v>10</v>
      </c>
      <c r="G474" t="s">
        <v>20</v>
      </c>
      <c r="H474">
        <v>652.85</v>
      </c>
      <c r="I474" t="str">
        <f t="shared" si="14"/>
        <v>Feb/2024</v>
      </c>
      <c r="J474">
        <f t="shared" si="15"/>
        <v>239398.20000000004</v>
      </c>
    </row>
    <row r="475" spans="1:10" hidden="1">
      <c r="A475">
        <v>474</v>
      </c>
      <c r="B475">
        <v>62</v>
      </c>
      <c r="C475" t="s">
        <v>19</v>
      </c>
      <c r="D475" s="1">
        <v>45326</v>
      </c>
      <c r="E475" t="s">
        <v>9</v>
      </c>
      <c r="F475" t="s">
        <v>21</v>
      </c>
      <c r="G475" t="s">
        <v>16</v>
      </c>
      <c r="H475">
        <v>618.88</v>
      </c>
      <c r="I475" t="str">
        <f t="shared" si="14"/>
        <v>Feb/2024</v>
      </c>
      <c r="J475">
        <f t="shared" si="15"/>
        <v>240017.08000000005</v>
      </c>
    </row>
    <row r="476" spans="1:10" hidden="1">
      <c r="A476">
        <v>475</v>
      </c>
      <c r="B476">
        <v>97</v>
      </c>
      <c r="C476" t="s">
        <v>19</v>
      </c>
      <c r="D476" s="1">
        <v>45367</v>
      </c>
      <c r="E476" t="s">
        <v>26</v>
      </c>
      <c r="F476" t="s">
        <v>21</v>
      </c>
      <c r="G476" t="s">
        <v>20</v>
      </c>
      <c r="H476">
        <v>140.36000000000001</v>
      </c>
      <c r="I476" t="str">
        <f t="shared" si="14"/>
        <v>Mar/2024</v>
      </c>
      <c r="J476">
        <f t="shared" si="15"/>
        <v>240157.44000000003</v>
      </c>
    </row>
    <row r="477" spans="1:10" hidden="1">
      <c r="A477">
        <v>476</v>
      </c>
      <c r="B477">
        <v>86</v>
      </c>
      <c r="C477" t="s">
        <v>19</v>
      </c>
      <c r="D477" s="1">
        <v>45323</v>
      </c>
      <c r="E477" t="s">
        <v>15</v>
      </c>
      <c r="F477" t="s">
        <v>18</v>
      </c>
      <c r="G477" t="s">
        <v>11</v>
      </c>
      <c r="H477">
        <v>683.68</v>
      </c>
      <c r="I477" t="str">
        <f t="shared" si="14"/>
        <v>Feb/2024</v>
      </c>
      <c r="J477">
        <f t="shared" si="15"/>
        <v>240841.12000000002</v>
      </c>
    </row>
    <row r="478" spans="1:10" hidden="1">
      <c r="A478">
        <v>477</v>
      </c>
      <c r="B478">
        <v>38</v>
      </c>
      <c r="C478" t="s">
        <v>12</v>
      </c>
      <c r="D478" s="1">
        <v>45345</v>
      </c>
      <c r="E478" t="s">
        <v>9</v>
      </c>
      <c r="F478" t="s">
        <v>18</v>
      </c>
      <c r="G478" t="s">
        <v>11</v>
      </c>
      <c r="H478">
        <v>613.47</v>
      </c>
      <c r="I478" t="str">
        <f t="shared" si="14"/>
        <v>Feb/2024</v>
      </c>
      <c r="J478">
        <f t="shared" si="15"/>
        <v>241454.59000000003</v>
      </c>
    </row>
    <row r="479" spans="1:10" hidden="1">
      <c r="A479">
        <v>478</v>
      </c>
      <c r="B479">
        <v>58</v>
      </c>
      <c r="C479" t="s">
        <v>12</v>
      </c>
      <c r="D479" s="1">
        <v>45309</v>
      </c>
      <c r="E479" t="s">
        <v>26</v>
      </c>
      <c r="F479" t="s">
        <v>21</v>
      </c>
      <c r="G479" t="s">
        <v>11</v>
      </c>
      <c r="H479">
        <v>895.11</v>
      </c>
      <c r="I479" t="str">
        <f t="shared" si="14"/>
        <v>Jan/2024</v>
      </c>
      <c r="J479">
        <f t="shared" si="15"/>
        <v>242349.7</v>
      </c>
    </row>
    <row r="480" spans="1:10" hidden="1">
      <c r="A480">
        <v>479</v>
      </c>
      <c r="B480">
        <v>32</v>
      </c>
      <c r="C480" t="s">
        <v>19</v>
      </c>
      <c r="D480" s="1">
        <v>45450</v>
      </c>
      <c r="E480" t="s">
        <v>9</v>
      </c>
      <c r="F480" t="s">
        <v>18</v>
      </c>
      <c r="G480" t="s">
        <v>11</v>
      </c>
      <c r="H480">
        <v>515.94000000000005</v>
      </c>
      <c r="I480" t="str">
        <f t="shared" si="14"/>
        <v>Jun/2024</v>
      </c>
      <c r="J480">
        <f t="shared" si="15"/>
        <v>242865.64</v>
      </c>
    </row>
    <row r="481" spans="1:10" hidden="1">
      <c r="A481">
        <v>480</v>
      </c>
      <c r="B481">
        <v>78</v>
      </c>
      <c r="C481" t="s">
        <v>12</v>
      </c>
      <c r="D481" s="1">
        <v>45298</v>
      </c>
      <c r="E481" t="s">
        <v>15</v>
      </c>
      <c r="F481" t="s">
        <v>10</v>
      </c>
      <c r="G481" t="s">
        <v>16</v>
      </c>
      <c r="H481">
        <v>293.08999999999997</v>
      </c>
      <c r="I481" t="str">
        <f t="shared" si="14"/>
        <v>Jan/2024</v>
      </c>
      <c r="J481">
        <f t="shared" si="15"/>
        <v>243158.73</v>
      </c>
    </row>
    <row r="482" spans="1:10" hidden="1">
      <c r="A482">
        <v>481</v>
      </c>
      <c r="B482">
        <v>66</v>
      </c>
      <c r="C482" t="s">
        <v>19</v>
      </c>
      <c r="D482" s="1">
        <v>45445</v>
      </c>
      <c r="E482" t="s">
        <v>26</v>
      </c>
      <c r="F482" t="s">
        <v>18</v>
      </c>
      <c r="G482" t="s">
        <v>16</v>
      </c>
      <c r="H482">
        <v>689.42</v>
      </c>
      <c r="I482" t="str">
        <f t="shared" si="14"/>
        <v>Jun/2024</v>
      </c>
      <c r="J482">
        <f t="shared" si="15"/>
        <v>243848.15000000002</v>
      </c>
    </row>
    <row r="483" spans="1:10" hidden="1">
      <c r="A483">
        <v>482</v>
      </c>
      <c r="B483">
        <v>68</v>
      </c>
      <c r="C483" t="s">
        <v>8</v>
      </c>
      <c r="D483" s="1">
        <v>45459</v>
      </c>
      <c r="E483" t="s">
        <v>26</v>
      </c>
      <c r="F483" t="s">
        <v>18</v>
      </c>
      <c r="G483" t="s">
        <v>11</v>
      </c>
      <c r="H483">
        <v>148.53</v>
      </c>
      <c r="I483" t="str">
        <f t="shared" si="14"/>
        <v>Jun/2024</v>
      </c>
      <c r="J483">
        <f t="shared" si="15"/>
        <v>243996.68000000002</v>
      </c>
    </row>
    <row r="484" spans="1:10" hidden="1">
      <c r="A484">
        <v>483</v>
      </c>
      <c r="B484">
        <v>10</v>
      </c>
      <c r="C484" t="s">
        <v>8</v>
      </c>
      <c r="D484" s="1">
        <v>45339</v>
      </c>
      <c r="E484" t="s">
        <v>9</v>
      </c>
      <c r="F484" t="s">
        <v>21</v>
      </c>
      <c r="G484" t="s">
        <v>11</v>
      </c>
      <c r="H484">
        <v>933.3</v>
      </c>
      <c r="I484" t="str">
        <f t="shared" si="14"/>
        <v>Feb/2024</v>
      </c>
      <c r="J484">
        <f t="shared" si="15"/>
        <v>244929.98</v>
      </c>
    </row>
    <row r="485" spans="1:10" hidden="1">
      <c r="A485">
        <v>484</v>
      </c>
      <c r="B485">
        <v>77</v>
      </c>
      <c r="C485" t="s">
        <v>19</v>
      </c>
      <c r="D485" s="1">
        <v>45332</v>
      </c>
      <c r="E485" t="s">
        <v>15</v>
      </c>
      <c r="F485" t="s">
        <v>10</v>
      </c>
      <c r="G485" t="s">
        <v>20</v>
      </c>
      <c r="H485">
        <v>336.75</v>
      </c>
      <c r="I485" t="str">
        <f t="shared" si="14"/>
        <v>Feb/2024</v>
      </c>
      <c r="J485">
        <f t="shared" si="15"/>
        <v>245266.73</v>
      </c>
    </row>
    <row r="486" spans="1:10" hidden="1">
      <c r="A486">
        <v>485</v>
      </c>
      <c r="B486">
        <v>50</v>
      </c>
      <c r="C486" t="s">
        <v>8</v>
      </c>
      <c r="D486" s="1">
        <v>45351</v>
      </c>
      <c r="E486" t="s">
        <v>26</v>
      </c>
      <c r="F486" t="s">
        <v>10</v>
      </c>
      <c r="G486" t="s">
        <v>20</v>
      </c>
      <c r="H486">
        <v>223.73</v>
      </c>
      <c r="I486" t="str">
        <f t="shared" si="14"/>
        <v>Feb/2024</v>
      </c>
      <c r="J486">
        <f t="shared" si="15"/>
        <v>245490.46000000002</v>
      </c>
    </row>
    <row r="487" spans="1:10" hidden="1">
      <c r="A487">
        <v>486</v>
      </c>
      <c r="B487">
        <v>97</v>
      </c>
      <c r="C487" t="s">
        <v>19</v>
      </c>
      <c r="D487" s="1">
        <v>45380</v>
      </c>
      <c r="E487" t="s">
        <v>15</v>
      </c>
      <c r="F487" t="s">
        <v>18</v>
      </c>
      <c r="G487" t="s">
        <v>16</v>
      </c>
      <c r="H487">
        <v>236.47</v>
      </c>
      <c r="I487" t="str">
        <f t="shared" si="14"/>
        <v>Mar/2024</v>
      </c>
      <c r="J487">
        <f t="shared" si="15"/>
        <v>245726.93000000002</v>
      </c>
    </row>
    <row r="488" spans="1:10" hidden="1">
      <c r="A488">
        <v>487</v>
      </c>
      <c r="B488">
        <v>26</v>
      </c>
      <c r="C488" t="s">
        <v>19</v>
      </c>
      <c r="D488" s="1">
        <v>45364</v>
      </c>
      <c r="E488" t="s">
        <v>15</v>
      </c>
      <c r="F488" t="s">
        <v>18</v>
      </c>
      <c r="G488" t="s">
        <v>20</v>
      </c>
      <c r="H488">
        <v>647.11</v>
      </c>
      <c r="I488" t="str">
        <f t="shared" si="14"/>
        <v>Mar/2024</v>
      </c>
      <c r="J488">
        <f t="shared" si="15"/>
        <v>246374.04</v>
      </c>
    </row>
    <row r="489" spans="1:10" hidden="1">
      <c r="A489">
        <v>488</v>
      </c>
      <c r="B489">
        <v>51</v>
      </c>
      <c r="C489" t="s">
        <v>19</v>
      </c>
      <c r="D489" s="1">
        <v>45386</v>
      </c>
      <c r="E489" t="s">
        <v>26</v>
      </c>
      <c r="F489" t="s">
        <v>10</v>
      </c>
      <c r="G489" t="s">
        <v>16</v>
      </c>
      <c r="H489">
        <v>268.57</v>
      </c>
      <c r="I489" t="str">
        <f t="shared" si="14"/>
        <v>Apr/2024</v>
      </c>
      <c r="J489">
        <f t="shared" si="15"/>
        <v>246642.61000000002</v>
      </c>
    </row>
    <row r="490" spans="1:10" hidden="1">
      <c r="A490">
        <v>489</v>
      </c>
      <c r="B490">
        <v>57</v>
      </c>
      <c r="C490" t="s">
        <v>19</v>
      </c>
      <c r="D490" s="1">
        <v>45422</v>
      </c>
      <c r="E490" t="s">
        <v>15</v>
      </c>
      <c r="F490" t="s">
        <v>10</v>
      </c>
      <c r="G490" t="s">
        <v>11</v>
      </c>
      <c r="H490">
        <v>405.89</v>
      </c>
      <c r="I490" t="str">
        <f t="shared" si="14"/>
        <v>May/2024</v>
      </c>
      <c r="J490">
        <f t="shared" si="15"/>
        <v>247048.50000000003</v>
      </c>
    </row>
    <row r="491" spans="1:10" hidden="1">
      <c r="A491">
        <v>490</v>
      </c>
      <c r="B491">
        <v>12</v>
      </c>
      <c r="C491" t="s">
        <v>12</v>
      </c>
      <c r="D491" s="1">
        <v>45362</v>
      </c>
      <c r="E491" t="s">
        <v>15</v>
      </c>
      <c r="F491" t="s">
        <v>10</v>
      </c>
      <c r="G491" t="s">
        <v>20</v>
      </c>
      <c r="H491">
        <v>643.98</v>
      </c>
      <c r="I491" t="str">
        <f t="shared" si="14"/>
        <v>Mar/2024</v>
      </c>
      <c r="J491">
        <f t="shared" si="15"/>
        <v>247692.48000000004</v>
      </c>
    </row>
    <row r="492" spans="1:10" hidden="1">
      <c r="A492">
        <v>491</v>
      </c>
      <c r="B492">
        <v>90</v>
      </c>
      <c r="C492" t="s">
        <v>12</v>
      </c>
      <c r="D492" s="1">
        <v>45341</v>
      </c>
      <c r="E492" t="s">
        <v>15</v>
      </c>
      <c r="F492" t="s">
        <v>18</v>
      </c>
      <c r="G492" t="s">
        <v>20</v>
      </c>
      <c r="H492">
        <v>183.11</v>
      </c>
      <c r="I492" t="str">
        <f t="shared" si="14"/>
        <v>Feb/2024</v>
      </c>
      <c r="J492">
        <f t="shared" si="15"/>
        <v>247875.59000000003</v>
      </c>
    </row>
    <row r="493" spans="1:10" hidden="1">
      <c r="A493">
        <v>492</v>
      </c>
      <c r="B493">
        <v>79</v>
      </c>
      <c r="C493" t="s">
        <v>12</v>
      </c>
      <c r="D493" s="1">
        <v>45403</v>
      </c>
      <c r="E493" t="s">
        <v>9</v>
      </c>
      <c r="F493" t="s">
        <v>21</v>
      </c>
      <c r="G493" t="s">
        <v>11</v>
      </c>
      <c r="H493">
        <v>878.64</v>
      </c>
      <c r="I493" t="str">
        <f t="shared" si="14"/>
        <v>Apr/2024</v>
      </c>
      <c r="J493">
        <f t="shared" si="15"/>
        <v>248754.23000000004</v>
      </c>
    </row>
    <row r="494" spans="1:10" hidden="1">
      <c r="A494">
        <v>493</v>
      </c>
      <c r="B494">
        <v>58</v>
      </c>
      <c r="C494" t="s">
        <v>12</v>
      </c>
      <c r="D494" s="1">
        <v>45452</v>
      </c>
      <c r="E494" t="s">
        <v>9</v>
      </c>
      <c r="F494" t="s">
        <v>18</v>
      </c>
      <c r="G494" t="s">
        <v>20</v>
      </c>
      <c r="H494">
        <v>702.09</v>
      </c>
      <c r="I494" t="str">
        <f t="shared" si="14"/>
        <v>Jun/2024</v>
      </c>
      <c r="J494">
        <f t="shared" si="15"/>
        <v>249456.32000000004</v>
      </c>
    </row>
    <row r="495" spans="1:10" hidden="1">
      <c r="A495">
        <v>494</v>
      </c>
      <c r="B495">
        <v>31</v>
      </c>
      <c r="C495" t="s">
        <v>8</v>
      </c>
      <c r="D495" s="1">
        <v>45352</v>
      </c>
      <c r="E495" t="s">
        <v>15</v>
      </c>
      <c r="F495" t="s">
        <v>18</v>
      </c>
      <c r="G495" t="s">
        <v>11</v>
      </c>
      <c r="H495">
        <v>823.59</v>
      </c>
      <c r="I495" t="str">
        <f t="shared" si="14"/>
        <v>Mar/2024</v>
      </c>
      <c r="J495">
        <f t="shared" si="15"/>
        <v>250279.91000000003</v>
      </c>
    </row>
    <row r="496" spans="1:10" hidden="1">
      <c r="A496">
        <v>495</v>
      </c>
      <c r="B496">
        <v>49</v>
      </c>
      <c r="C496" t="s">
        <v>8</v>
      </c>
      <c r="D496" s="1">
        <v>45319</v>
      </c>
      <c r="E496" t="s">
        <v>26</v>
      </c>
      <c r="F496" t="s">
        <v>21</v>
      </c>
      <c r="G496" t="s">
        <v>16</v>
      </c>
      <c r="H496">
        <v>294.56</v>
      </c>
      <c r="I496" t="str">
        <f t="shared" si="14"/>
        <v>Jan/2024</v>
      </c>
      <c r="J496">
        <f t="shared" si="15"/>
        <v>250574.47000000003</v>
      </c>
    </row>
    <row r="497" spans="1:10" hidden="1">
      <c r="A497">
        <v>496</v>
      </c>
      <c r="B497">
        <v>6</v>
      </c>
      <c r="C497" t="s">
        <v>12</v>
      </c>
      <c r="D497" s="1">
        <v>45307</v>
      </c>
      <c r="E497" t="s">
        <v>15</v>
      </c>
      <c r="F497" t="s">
        <v>18</v>
      </c>
      <c r="G497" t="s">
        <v>11</v>
      </c>
      <c r="H497">
        <v>533.14</v>
      </c>
      <c r="I497" t="str">
        <f t="shared" si="14"/>
        <v>Jan/2024</v>
      </c>
      <c r="J497">
        <f t="shared" si="15"/>
        <v>251107.61000000004</v>
      </c>
    </row>
    <row r="498" spans="1:10" hidden="1">
      <c r="A498">
        <v>497</v>
      </c>
      <c r="B498">
        <v>49</v>
      </c>
      <c r="C498" t="s">
        <v>12</v>
      </c>
      <c r="D498" s="1">
        <v>45379</v>
      </c>
      <c r="E498" t="s">
        <v>9</v>
      </c>
      <c r="F498" t="s">
        <v>18</v>
      </c>
      <c r="G498" t="s">
        <v>11</v>
      </c>
      <c r="H498">
        <v>975.5</v>
      </c>
      <c r="I498" t="str">
        <f t="shared" si="14"/>
        <v>Mar/2024</v>
      </c>
      <c r="J498">
        <f t="shared" si="15"/>
        <v>252083.11000000004</v>
      </c>
    </row>
    <row r="499" spans="1:10" hidden="1">
      <c r="A499">
        <v>498</v>
      </c>
      <c r="B499">
        <v>87</v>
      </c>
      <c r="C499" t="s">
        <v>19</v>
      </c>
      <c r="D499" s="1">
        <v>45460</v>
      </c>
      <c r="E499" t="s">
        <v>15</v>
      </c>
      <c r="F499" t="s">
        <v>21</v>
      </c>
      <c r="G499" t="s">
        <v>11</v>
      </c>
      <c r="H499">
        <v>707.21</v>
      </c>
      <c r="I499" t="str">
        <f t="shared" si="14"/>
        <v>Jun/2024</v>
      </c>
      <c r="J499">
        <f t="shared" si="15"/>
        <v>252790.32000000004</v>
      </c>
    </row>
    <row r="500" spans="1:10" hidden="1">
      <c r="A500">
        <v>499</v>
      </c>
      <c r="B500">
        <v>60</v>
      </c>
      <c r="C500" t="s">
        <v>19</v>
      </c>
      <c r="D500" s="1">
        <v>45383</v>
      </c>
      <c r="E500" t="s">
        <v>26</v>
      </c>
      <c r="F500" t="s">
        <v>21</v>
      </c>
      <c r="G500" t="s">
        <v>11</v>
      </c>
      <c r="H500">
        <v>775.91</v>
      </c>
      <c r="I500" t="str">
        <f t="shared" si="14"/>
        <v>Apr/2024</v>
      </c>
      <c r="J500">
        <f t="shared" si="15"/>
        <v>253566.23000000004</v>
      </c>
    </row>
    <row r="501" spans="1:10" hidden="1">
      <c r="A501">
        <v>500</v>
      </c>
      <c r="B501">
        <v>100</v>
      </c>
      <c r="C501" t="s">
        <v>12</v>
      </c>
      <c r="D501" s="1">
        <v>45401</v>
      </c>
      <c r="E501" t="s">
        <v>26</v>
      </c>
      <c r="F501" t="s">
        <v>21</v>
      </c>
      <c r="G501" t="s">
        <v>20</v>
      </c>
      <c r="H501">
        <v>617.36</v>
      </c>
      <c r="I501" t="str">
        <f t="shared" si="14"/>
        <v>Apr/2024</v>
      </c>
      <c r="J501">
        <f t="shared" si="15"/>
        <v>254183.59000000003</v>
      </c>
    </row>
    <row r="502" spans="1:10" hidden="1">
      <c r="A502">
        <v>501</v>
      </c>
      <c r="B502">
        <v>46</v>
      </c>
      <c r="C502" t="s">
        <v>8</v>
      </c>
      <c r="D502" s="1">
        <v>45304</v>
      </c>
      <c r="E502" t="s">
        <v>26</v>
      </c>
      <c r="F502" t="s">
        <v>10</v>
      </c>
      <c r="G502" t="s">
        <v>11</v>
      </c>
      <c r="H502">
        <v>922.52</v>
      </c>
      <c r="I502" t="str">
        <f t="shared" si="14"/>
        <v>Jan/2024</v>
      </c>
      <c r="J502">
        <f t="shared" si="15"/>
        <v>255106.11000000002</v>
      </c>
    </row>
    <row r="503" spans="1:10" hidden="1">
      <c r="A503">
        <v>502</v>
      </c>
      <c r="B503">
        <v>62</v>
      </c>
      <c r="C503" t="s">
        <v>8</v>
      </c>
      <c r="D503" s="1">
        <v>45408</v>
      </c>
      <c r="E503" t="s">
        <v>26</v>
      </c>
      <c r="F503" t="s">
        <v>10</v>
      </c>
      <c r="G503" t="s">
        <v>16</v>
      </c>
      <c r="H503">
        <v>81.91</v>
      </c>
      <c r="I503" t="str">
        <f t="shared" si="14"/>
        <v>Apr/2024</v>
      </c>
      <c r="J503">
        <f t="shared" si="15"/>
        <v>255188.02000000002</v>
      </c>
    </row>
    <row r="504" spans="1:10" hidden="1">
      <c r="A504">
        <v>503</v>
      </c>
      <c r="B504">
        <v>91</v>
      </c>
      <c r="C504" t="s">
        <v>19</v>
      </c>
      <c r="D504" s="1">
        <v>45456</v>
      </c>
      <c r="E504" t="s">
        <v>26</v>
      </c>
      <c r="F504" t="s">
        <v>18</v>
      </c>
      <c r="G504" t="s">
        <v>20</v>
      </c>
      <c r="H504">
        <v>40.19</v>
      </c>
      <c r="I504" t="str">
        <f t="shared" si="14"/>
        <v>Jun/2024</v>
      </c>
      <c r="J504">
        <f t="shared" si="15"/>
        <v>255228.21000000002</v>
      </c>
    </row>
    <row r="505" spans="1:10" hidden="1">
      <c r="A505">
        <v>504</v>
      </c>
      <c r="B505">
        <v>74</v>
      </c>
      <c r="C505" t="s">
        <v>19</v>
      </c>
      <c r="D505" s="1">
        <v>45438</v>
      </c>
      <c r="E505" t="s">
        <v>15</v>
      </c>
      <c r="F505" t="s">
        <v>21</v>
      </c>
      <c r="G505" t="s">
        <v>20</v>
      </c>
      <c r="H505">
        <v>943.79</v>
      </c>
      <c r="I505" t="str">
        <f t="shared" si="14"/>
        <v>May/2024</v>
      </c>
      <c r="J505">
        <f t="shared" si="15"/>
        <v>256172.00000000003</v>
      </c>
    </row>
    <row r="506" spans="1:10" hidden="1">
      <c r="A506">
        <v>505</v>
      </c>
      <c r="B506">
        <v>92</v>
      </c>
      <c r="C506" t="s">
        <v>8</v>
      </c>
      <c r="D506" s="1">
        <v>45393</v>
      </c>
      <c r="E506" t="s">
        <v>26</v>
      </c>
      <c r="F506" t="s">
        <v>10</v>
      </c>
      <c r="G506" t="s">
        <v>11</v>
      </c>
      <c r="H506">
        <v>411.9</v>
      </c>
      <c r="I506" t="str">
        <f t="shared" si="14"/>
        <v>Apr/2024</v>
      </c>
      <c r="J506">
        <f t="shared" si="15"/>
        <v>256583.90000000002</v>
      </c>
    </row>
    <row r="507" spans="1:10" hidden="1">
      <c r="A507">
        <v>506</v>
      </c>
      <c r="B507">
        <v>66</v>
      </c>
      <c r="C507" t="s">
        <v>8</v>
      </c>
      <c r="D507" s="1">
        <v>45417</v>
      </c>
      <c r="E507" t="s">
        <v>15</v>
      </c>
      <c r="F507" t="s">
        <v>18</v>
      </c>
      <c r="G507" t="s">
        <v>11</v>
      </c>
      <c r="H507">
        <v>759.53</v>
      </c>
      <c r="I507" t="str">
        <f t="shared" si="14"/>
        <v>May/2024</v>
      </c>
      <c r="J507">
        <f t="shared" si="15"/>
        <v>257343.43000000002</v>
      </c>
    </row>
    <row r="508" spans="1:10">
      <c r="A508">
        <v>507</v>
      </c>
      <c r="B508">
        <v>81</v>
      </c>
      <c r="C508" t="s">
        <v>19</v>
      </c>
      <c r="D508" s="1">
        <v>45306</v>
      </c>
      <c r="E508" t="s">
        <v>9</v>
      </c>
      <c r="F508" t="s">
        <v>18</v>
      </c>
      <c r="G508" t="s">
        <v>20</v>
      </c>
      <c r="H508">
        <v>368.11</v>
      </c>
      <c r="I508" t="str">
        <f t="shared" si="14"/>
        <v>Jan/2024</v>
      </c>
      <c r="J508">
        <f t="shared" si="15"/>
        <v>257711.54</v>
      </c>
    </row>
    <row r="509" spans="1:10" hidden="1">
      <c r="A509">
        <v>508</v>
      </c>
      <c r="B509">
        <v>41</v>
      </c>
      <c r="C509" t="s">
        <v>12</v>
      </c>
      <c r="D509" s="1">
        <v>45386</v>
      </c>
      <c r="E509" t="s">
        <v>26</v>
      </c>
      <c r="F509" t="s">
        <v>21</v>
      </c>
      <c r="G509" t="s">
        <v>11</v>
      </c>
      <c r="H509">
        <v>27.9</v>
      </c>
      <c r="I509" t="str">
        <f t="shared" si="14"/>
        <v>Apr/2024</v>
      </c>
      <c r="J509">
        <f t="shared" si="15"/>
        <v>257739.44</v>
      </c>
    </row>
    <row r="510" spans="1:10" hidden="1">
      <c r="A510">
        <v>509</v>
      </c>
      <c r="B510">
        <v>91</v>
      </c>
      <c r="C510" t="s">
        <v>8</v>
      </c>
      <c r="D510" s="1">
        <v>45403</v>
      </c>
      <c r="E510" t="s">
        <v>15</v>
      </c>
      <c r="F510" t="s">
        <v>18</v>
      </c>
      <c r="G510" t="s">
        <v>16</v>
      </c>
      <c r="H510">
        <v>670.09</v>
      </c>
      <c r="I510" t="str">
        <f t="shared" si="14"/>
        <v>Apr/2024</v>
      </c>
      <c r="J510">
        <f t="shared" si="15"/>
        <v>258409.53</v>
      </c>
    </row>
    <row r="511" spans="1:10" hidden="1">
      <c r="A511">
        <v>510</v>
      </c>
      <c r="B511">
        <v>35</v>
      </c>
      <c r="C511" t="s">
        <v>12</v>
      </c>
      <c r="D511" s="1">
        <v>45436</v>
      </c>
      <c r="E511" t="s">
        <v>15</v>
      </c>
      <c r="F511" t="s">
        <v>18</v>
      </c>
      <c r="G511" t="s">
        <v>16</v>
      </c>
      <c r="H511">
        <v>790.76</v>
      </c>
      <c r="I511" t="str">
        <f t="shared" si="14"/>
        <v>May/2024</v>
      </c>
      <c r="J511">
        <f t="shared" si="15"/>
        <v>259200.29</v>
      </c>
    </row>
    <row r="512" spans="1:10" hidden="1">
      <c r="A512">
        <v>511</v>
      </c>
      <c r="B512">
        <v>12</v>
      </c>
      <c r="C512" t="s">
        <v>19</v>
      </c>
      <c r="D512" s="1">
        <v>45463</v>
      </c>
      <c r="E512" t="s">
        <v>15</v>
      </c>
      <c r="F512" t="s">
        <v>21</v>
      </c>
      <c r="G512" t="s">
        <v>20</v>
      </c>
      <c r="H512">
        <v>769.88</v>
      </c>
      <c r="I512" t="str">
        <f t="shared" si="14"/>
        <v>Jun/2024</v>
      </c>
      <c r="J512">
        <f t="shared" si="15"/>
        <v>259970.17</v>
      </c>
    </row>
    <row r="513" spans="1:10" hidden="1">
      <c r="A513">
        <v>512</v>
      </c>
      <c r="B513">
        <v>77</v>
      </c>
      <c r="C513" t="s">
        <v>19</v>
      </c>
      <c r="D513" s="1">
        <v>45418</v>
      </c>
      <c r="E513" t="s">
        <v>15</v>
      </c>
      <c r="F513" t="s">
        <v>18</v>
      </c>
      <c r="G513" t="s">
        <v>16</v>
      </c>
      <c r="H513">
        <v>262.60000000000002</v>
      </c>
      <c r="I513" t="str">
        <f t="shared" si="14"/>
        <v>May/2024</v>
      </c>
      <c r="J513">
        <f t="shared" si="15"/>
        <v>260232.77000000002</v>
      </c>
    </row>
    <row r="514" spans="1:10" hidden="1">
      <c r="A514">
        <v>513</v>
      </c>
      <c r="B514">
        <v>11</v>
      </c>
      <c r="C514" t="s">
        <v>19</v>
      </c>
      <c r="D514" s="1">
        <v>45374</v>
      </c>
      <c r="E514" t="s">
        <v>26</v>
      </c>
      <c r="F514" t="s">
        <v>21</v>
      </c>
      <c r="G514" t="s">
        <v>11</v>
      </c>
      <c r="H514">
        <v>520.44000000000005</v>
      </c>
      <c r="I514" t="str">
        <f t="shared" si="14"/>
        <v>Mar/2024</v>
      </c>
      <c r="J514">
        <f t="shared" si="15"/>
        <v>260753.21000000002</v>
      </c>
    </row>
    <row r="515" spans="1:10" hidden="1">
      <c r="A515">
        <v>514</v>
      </c>
      <c r="B515">
        <v>93</v>
      </c>
      <c r="C515" t="s">
        <v>8</v>
      </c>
      <c r="D515" s="1">
        <v>45431</v>
      </c>
      <c r="E515" t="s">
        <v>9</v>
      </c>
      <c r="F515" t="s">
        <v>10</v>
      </c>
      <c r="G515" t="s">
        <v>11</v>
      </c>
      <c r="H515">
        <v>624.75</v>
      </c>
      <c r="I515" t="str">
        <f t="shared" ref="I515:I578" si="16">TEXT(D515,"mmm/yyyy")</f>
        <v>May/2024</v>
      </c>
      <c r="J515">
        <f t="shared" si="15"/>
        <v>261377.96000000002</v>
      </c>
    </row>
    <row r="516" spans="1:10" hidden="1">
      <c r="A516">
        <v>515</v>
      </c>
      <c r="B516">
        <v>3</v>
      </c>
      <c r="C516" t="s">
        <v>8</v>
      </c>
      <c r="D516" s="1">
        <v>45373</v>
      </c>
      <c r="E516" t="s">
        <v>15</v>
      </c>
      <c r="F516" t="s">
        <v>21</v>
      </c>
      <c r="G516" t="s">
        <v>20</v>
      </c>
      <c r="H516">
        <v>496.27</v>
      </c>
      <c r="I516" t="str">
        <f t="shared" si="16"/>
        <v>Mar/2024</v>
      </c>
      <c r="J516">
        <f t="shared" ref="J516:J579" si="17">J515+H516</f>
        <v>261874.23</v>
      </c>
    </row>
    <row r="517" spans="1:10" hidden="1">
      <c r="A517">
        <v>516</v>
      </c>
      <c r="B517">
        <v>43</v>
      </c>
      <c r="C517" t="s">
        <v>12</v>
      </c>
      <c r="D517" s="1">
        <v>45463</v>
      </c>
      <c r="E517" t="s">
        <v>9</v>
      </c>
      <c r="F517" t="s">
        <v>21</v>
      </c>
      <c r="G517" t="s">
        <v>16</v>
      </c>
      <c r="H517">
        <v>368.54</v>
      </c>
      <c r="I517" t="str">
        <f t="shared" si="16"/>
        <v>Jun/2024</v>
      </c>
      <c r="J517">
        <f t="shared" si="17"/>
        <v>262242.77</v>
      </c>
    </row>
    <row r="518" spans="1:10" hidden="1">
      <c r="A518">
        <v>517</v>
      </c>
      <c r="B518">
        <v>88</v>
      </c>
      <c r="C518" t="s">
        <v>19</v>
      </c>
      <c r="D518" s="1">
        <v>45455</v>
      </c>
      <c r="E518" t="s">
        <v>15</v>
      </c>
      <c r="F518" t="s">
        <v>21</v>
      </c>
      <c r="G518" t="s">
        <v>20</v>
      </c>
      <c r="H518">
        <v>942.94</v>
      </c>
      <c r="I518" t="str">
        <f t="shared" si="16"/>
        <v>Jun/2024</v>
      </c>
      <c r="J518">
        <f t="shared" si="17"/>
        <v>263185.71000000002</v>
      </c>
    </row>
    <row r="519" spans="1:10" hidden="1">
      <c r="A519">
        <v>518</v>
      </c>
      <c r="B519">
        <v>4</v>
      </c>
      <c r="C519" t="s">
        <v>19</v>
      </c>
      <c r="D519" s="1">
        <v>45379</v>
      </c>
      <c r="E519" t="s">
        <v>15</v>
      </c>
      <c r="F519" t="s">
        <v>18</v>
      </c>
      <c r="G519" t="s">
        <v>16</v>
      </c>
      <c r="H519">
        <v>449.63</v>
      </c>
      <c r="I519" t="str">
        <f t="shared" si="16"/>
        <v>Mar/2024</v>
      </c>
      <c r="J519">
        <f t="shared" si="17"/>
        <v>263635.34000000003</v>
      </c>
    </row>
    <row r="520" spans="1:10" hidden="1">
      <c r="A520">
        <v>519</v>
      </c>
      <c r="B520">
        <v>96</v>
      </c>
      <c r="C520" t="s">
        <v>12</v>
      </c>
      <c r="D520" s="1">
        <v>45461</v>
      </c>
      <c r="E520" t="s">
        <v>15</v>
      </c>
      <c r="F520" t="s">
        <v>18</v>
      </c>
      <c r="G520" t="s">
        <v>20</v>
      </c>
      <c r="H520">
        <v>117.82</v>
      </c>
      <c r="I520" t="str">
        <f t="shared" si="16"/>
        <v>Jun/2024</v>
      </c>
      <c r="J520">
        <f t="shared" si="17"/>
        <v>263753.16000000003</v>
      </c>
    </row>
    <row r="521" spans="1:10" hidden="1">
      <c r="A521">
        <v>520</v>
      </c>
      <c r="B521">
        <v>75</v>
      </c>
      <c r="C521" t="s">
        <v>12</v>
      </c>
      <c r="D521" s="1">
        <v>45424</v>
      </c>
      <c r="E521" t="s">
        <v>15</v>
      </c>
      <c r="F521" t="s">
        <v>18</v>
      </c>
      <c r="G521" t="s">
        <v>11</v>
      </c>
      <c r="H521">
        <v>300.05</v>
      </c>
      <c r="I521" t="str">
        <f t="shared" si="16"/>
        <v>May/2024</v>
      </c>
      <c r="J521">
        <f t="shared" si="17"/>
        <v>264053.21000000002</v>
      </c>
    </row>
    <row r="522" spans="1:10" hidden="1">
      <c r="A522">
        <v>521</v>
      </c>
      <c r="B522">
        <v>86</v>
      </c>
      <c r="C522" t="s">
        <v>8</v>
      </c>
      <c r="D522" s="1">
        <v>45298</v>
      </c>
      <c r="E522" t="s">
        <v>26</v>
      </c>
      <c r="F522" t="s">
        <v>18</v>
      </c>
      <c r="G522" t="s">
        <v>11</v>
      </c>
      <c r="H522">
        <v>975.1</v>
      </c>
      <c r="I522" t="str">
        <f t="shared" si="16"/>
        <v>Jan/2024</v>
      </c>
      <c r="J522">
        <f t="shared" si="17"/>
        <v>265028.31</v>
      </c>
    </row>
    <row r="523" spans="1:10" hidden="1">
      <c r="A523">
        <v>522</v>
      </c>
      <c r="B523">
        <v>70</v>
      </c>
      <c r="C523" t="s">
        <v>8</v>
      </c>
      <c r="D523" s="1">
        <v>45304</v>
      </c>
      <c r="E523" t="s">
        <v>26</v>
      </c>
      <c r="F523" t="s">
        <v>18</v>
      </c>
      <c r="G523" t="s">
        <v>20</v>
      </c>
      <c r="H523">
        <v>74.36</v>
      </c>
      <c r="I523" t="str">
        <f t="shared" si="16"/>
        <v>Jan/2024</v>
      </c>
      <c r="J523">
        <f t="shared" si="17"/>
        <v>265102.67</v>
      </c>
    </row>
    <row r="524" spans="1:10" hidden="1">
      <c r="A524">
        <v>523</v>
      </c>
      <c r="B524">
        <v>6</v>
      </c>
      <c r="C524" t="s">
        <v>12</v>
      </c>
      <c r="D524" s="1">
        <v>45299</v>
      </c>
      <c r="E524" t="s">
        <v>9</v>
      </c>
      <c r="F524" t="s">
        <v>21</v>
      </c>
      <c r="G524" t="s">
        <v>16</v>
      </c>
      <c r="H524">
        <v>924.05</v>
      </c>
      <c r="I524" t="str">
        <f t="shared" si="16"/>
        <v>Jan/2024</v>
      </c>
      <c r="J524">
        <f t="shared" si="17"/>
        <v>266026.71999999997</v>
      </c>
    </row>
    <row r="525" spans="1:10" hidden="1">
      <c r="A525">
        <v>524</v>
      </c>
      <c r="B525">
        <v>14</v>
      </c>
      <c r="C525" t="s">
        <v>19</v>
      </c>
      <c r="D525" s="1">
        <v>45332</v>
      </c>
      <c r="E525" t="s">
        <v>26</v>
      </c>
      <c r="F525" t="s">
        <v>10</v>
      </c>
      <c r="G525" t="s">
        <v>11</v>
      </c>
      <c r="H525">
        <v>132.38999999999999</v>
      </c>
      <c r="I525" t="str">
        <f t="shared" si="16"/>
        <v>Feb/2024</v>
      </c>
      <c r="J525">
        <f t="shared" si="17"/>
        <v>266159.11</v>
      </c>
    </row>
    <row r="526" spans="1:10" hidden="1">
      <c r="A526">
        <v>525</v>
      </c>
      <c r="B526">
        <v>77</v>
      </c>
      <c r="C526" t="s">
        <v>12</v>
      </c>
      <c r="D526" s="1">
        <v>45346</v>
      </c>
      <c r="E526" t="s">
        <v>26</v>
      </c>
      <c r="F526" t="s">
        <v>18</v>
      </c>
      <c r="G526" t="s">
        <v>20</v>
      </c>
      <c r="H526">
        <v>893.77</v>
      </c>
      <c r="I526" t="str">
        <f t="shared" si="16"/>
        <v>Feb/2024</v>
      </c>
      <c r="J526">
        <f t="shared" si="17"/>
        <v>267052.88</v>
      </c>
    </row>
    <row r="527" spans="1:10" hidden="1">
      <c r="A527">
        <v>526</v>
      </c>
      <c r="B527">
        <v>65</v>
      </c>
      <c r="C527" t="s">
        <v>8</v>
      </c>
      <c r="D527" s="1">
        <v>45332</v>
      </c>
      <c r="E527" t="s">
        <v>26</v>
      </c>
      <c r="F527" t="s">
        <v>10</v>
      </c>
      <c r="G527" t="s">
        <v>20</v>
      </c>
      <c r="H527">
        <v>142.63999999999999</v>
      </c>
      <c r="I527" t="str">
        <f t="shared" si="16"/>
        <v>Feb/2024</v>
      </c>
      <c r="J527">
        <f t="shared" si="17"/>
        <v>267195.52000000002</v>
      </c>
    </row>
    <row r="528" spans="1:10" hidden="1">
      <c r="A528">
        <v>527</v>
      </c>
      <c r="B528">
        <v>70</v>
      </c>
      <c r="C528" t="s">
        <v>8</v>
      </c>
      <c r="D528" s="1">
        <v>45401</v>
      </c>
      <c r="E528" t="s">
        <v>9</v>
      </c>
      <c r="F528" t="s">
        <v>10</v>
      </c>
      <c r="G528" t="s">
        <v>20</v>
      </c>
      <c r="H528">
        <v>368.94</v>
      </c>
      <c r="I528" t="str">
        <f t="shared" si="16"/>
        <v>Apr/2024</v>
      </c>
      <c r="J528">
        <f t="shared" si="17"/>
        <v>267564.46000000002</v>
      </c>
    </row>
    <row r="529" spans="1:10" hidden="1">
      <c r="A529">
        <v>528</v>
      </c>
      <c r="B529">
        <v>8</v>
      </c>
      <c r="C529" t="s">
        <v>12</v>
      </c>
      <c r="D529" s="1">
        <v>45453</v>
      </c>
      <c r="E529" t="s">
        <v>15</v>
      </c>
      <c r="F529" t="s">
        <v>10</v>
      </c>
      <c r="G529" t="s">
        <v>16</v>
      </c>
      <c r="H529">
        <v>997.03</v>
      </c>
      <c r="I529" t="str">
        <f t="shared" si="16"/>
        <v>Jun/2024</v>
      </c>
      <c r="J529">
        <f t="shared" si="17"/>
        <v>268561.49000000005</v>
      </c>
    </row>
    <row r="530" spans="1:10" hidden="1">
      <c r="A530">
        <v>529</v>
      </c>
      <c r="B530">
        <v>54</v>
      </c>
      <c r="C530" t="s">
        <v>8</v>
      </c>
      <c r="D530" s="1">
        <v>45293</v>
      </c>
      <c r="E530" t="s">
        <v>26</v>
      </c>
      <c r="F530" t="s">
        <v>10</v>
      </c>
      <c r="G530" t="s">
        <v>20</v>
      </c>
      <c r="H530">
        <v>496.1</v>
      </c>
      <c r="I530" t="str">
        <f t="shared" si="16"/>
        <v>Jan/2024</v>
      </c>
      <c r="J530">
        <f t="shared" si="17"/>
        <v>269057.59000000003</v>
      </c>
    </row>
    <row r="531" spans="1:10" hidden="1">
      <c r="A531">
        <v>530</v>
      </c>
      <c r="B531">
        <v>98</v>
      </c>
      <c r="C531" t="s">
        <v>12</v>
      </c>
      <c r="D531" s="1">
        <v>45324</v>
      </c>
      <c r="E531" t="s">
        <v>26</v>
      </c>
      <c r="F531" t="s">
        <v>18</v>
      </c>
      <c r="G531" t="s">
        <v>16</v>
      </c>
      <c r="H531">
        <v>798.12</v>
      </c>
      <c r="I531" t="str">
        <f t="shared" si="16"/>
        <v>Feb/2024</v>
      </c>
      <c r="J531">
        <f t="shared" si="17"/>
        <v>269855.71000000002</v>
      </c>
    </row>
    <row r="532" spans="1:10" hidden="1">
      <c r="A532">
        <v>531</v>
      </c>
      <c r="B532">
        <v>82</v>
      </c>
      <c r="C532" t="s">
        <v>19</v>
      </c>
      <c r="D532" s="1">
        <v>45330</v>
      </c>
      <c r="E532" t="s">
        <v>15</v>
      </c>
      <c r="F532" t="s">
        <v>18</v>
      </c>
      <c r="G532" t="s">
        <v>11</v>
      </c>
      <c r="H532">
        <v>572.74</v>
      </c>
      <c r="I532" t="str">
        <f t="shared" si="16"/>
        <v>Feb/2024</v>
      </c>
      <c r="J532">
        <f t="shared" si="17"/>
        <v>270428.45</v>
      </c>
    </row>
    <row r="533" spans="1:10" hidden="1">
      <c r="A533">
        <v>532</v>
      </c>
      <c r="B533">
        <v>6</v>
      </c>
      <c r="C533" t="s">
        <v>8</v>
      </c>
      <c r="D533" s="1">
        <v>45332</v>
      </c>
      <c r="E533" t="s">
        <v>26</v>
      </c>
      <c r="F533" t="s">
        <v>18</v>
      </c>
      <c r="G533" t="s">
        <v>20</v>
      </c>
      <c r="H533">
        <v>53.77</v>
      </c>
      <c r="I533" t="str">
        <f t="shared" si="16"/>
        <v>Feb/2024</v>
      </c>
      <c r="J533">
        <f t="shared" si="17"/>
        <v>270482.22000000003</v>
      </c>
    </row>
    <row r="534" spans="1:10" hidden="1">
      <c r="A534">
        <v>533</v>
      </c>
      <c r="B534">
        <v>49</v>
      </c>
      <c r="C534" t="s">
        <v>19</v>
      </c>
      <c r="D534" s="1">
        <v>45385</v>
      </c>
      <c r="E534" t="s">
        <v>26</v>
      </c>
      <c r="F534" t="s">
        <v>10</v>
      </c>
      <c r="G534" t="s">
        <v>11</v>
      </c>
      <c r="H534">
        <v>369.83</v>
      </c>
      <c r="I534" t="str">
        <f t="shared" si="16"/>
        <v>Apr/2024</v>
      </c>
      <c r="J534">
        <f t="shared" si="17"/>
        <v>270852.05000000005</v>
      </c>
    </row>
    <row r="535" spans="1:10" hidden="1">
      <c r="A535">
        <v>534</v>
      </c>
      <c r="B535">
        <v>14</v>
      </c>
      <c r="C535" t="s">
        <v>19</v>
      </c>
      <c r="D535" s="1">
        <v>45393</v>
      </c>
      <c r="E535" t="s">
        <v>26</v>
      </c>
      <c r="F535" t="s">
        <v>10</v>
      </c>
      <c r="G535" t="s">
        <v>11</v>
      </c>
      <c r="H535">
        <v>398.17</v>
      </c>
      <c r="I535" t="str">
        <f t="shared" si="16"/>
        <v>Apr/2024</v>
      </c>
      <c r="J535">
        <f t="shared" si="17"/>
        <v>271250.22000000003</v>
      </c>
    </row>
    <row r="536" spans="1:10" hidden="1">
      <c r="A536">
        <v>535</v>
      </c>
      <c r="B536">
        <v>88</v>
      </c>
      <c r="C536" t="s">
        <v>8</v>
      </c>
      <c r="D536" s="1">
        <v>45372</v>
      </c>
      <c r="E536" t="s">
        <v>15</v>
      </c>
      <c r="F536" t="s">
        <v>18</v>
      </c>
      <c r="G536" t="s">
        <v>16</v>
      </c>
      <c r="H536">
        <v>825.57</v>
      </c>
      <c r="I536" t="str">
        <f t="shared" si="16"/>
        <v>Mar/2024</v>
      </c>
      <c r="J536">
        <f t="shared" si="17"/>
        <v>272075.79000000004</v>
      </c>
    </row>
    <row r="537" spans="1:10" hidden="1">
      <c r="A537">
        <v>536</v>
      </c>
      <c r="B537">
        <v>8</v>
      </c>
      <c r="C537" t="s">
        <v>12</v>
      </c>
      <c r="D537" s="1">
        <v>45425</v>
      </c>
      <c r="E537" t="s">
        <v>15</v>
      </c>
      <c r="F537" t="s">
        <v>18</v>
      </c>
      <c r="G537" t="s">
        <v>16</v>
      </c>
      <c r="H537">
        <v>201.88</v>
      </c>
      <c r="I537" t="str">
        <f t="shared" si="16"/>
        <v>May/2024</v>
      </c>
      <c r="J537">
        <f t="shared" si="17"/>
        <v>272277.67000000004</v>
      </c>
    </row>
    <row r="538" spans="1:10" hidden="1">
      <c r="A538">
        <v>537</v>
      </c>
      <c r="B538">
        <v>91</v>
      </c>
      <c r="C538" t="s">
        <v>19</v>
      </c>
      <c r="D538" s="1">
        <v>45456</v>
      </c>
      <c r="E538" t="s">
        <v>9</v>
      </c>
      <c r="F538" t="s">
        <v>18</v>
      </c>
      <c r="G538" t="s">
        <v>11</v>
      </c>
      <c r="H538">
        <v>47.47</v>
      </c>
      <c r="I538" t="str">
        <f t="shared" si="16"/>
        <v>Jun/2024</v>
      </c>
      <c r="J538">
        <f t="shared" si="17"/>
        <v>272325.14</v>
      </c>
    </row>
    <row r="539" spans="1:10" hidden="1">
      <c r="A539">
        <v>538</v>
      </c>
      <c r="B539">
        <v>1</v>
      </c>
      <c r="C539" t="s">
        <v>8</v>
      </c>
      <c r="D539" s="1">
        <v>45423</v>
      </c>
      <c r="E539" t="s">
        <v>9</v>
      </c>
      <c r="F539" t="s">
        <v>21</v>
      </c>
      <c r="G539" t="s">
        <v>16</v>
      </c>
      <c r="H539">
        <v>856.33</v>
      </c>
      <c r="I539" t="str">
        <f t="shared" si="16"/>
        <v>May/2024</v>
      </c>
      <c r="J539">
        <f t="shared" si="17"/>
        <v>273181.47000000003</v>
      </c>
    </row>
    <row r="540" spans="1:10" hidden="1">
      <c r="A540">
        <v>539</v>
      </c>
      <c r="B540">
        <v>15</v>
      </c>
      <c r="C540" t="s">
        <v>19</v>
      </c>
      <c r="D540" s="1">
        <v>45424</v>
      </c>
      <c r="E540" t="s">
        <v>15</v>
      </c>
      <c r="F540" t="s">
        <v>21</v>
      </c>
      <c r="G540" t="s">
        <v>20</v>
      </c>
      <c r="H540">
        <v>497.65</v>
      </c>
      <c r="I540" t="str">
        <f t="shared" si="16"/>
        <v>May/2024</v>
      </c>
      <c r="J540">
        <f t="shared" si="17"/>
        <v>273679.12000000005</v>
      </c>
    </row>
    <row r="541" spans="1:10" hidden="1">
      <c r="A541">
        <v>540</v>
      </c>
      <c r="B541">
        <v>20</v>
      </c>
      <c r="C541" t="s">
        <v>19</v>
      </c>
      <c r="D541" s="1">
        <v>45336</v>
      </c>
      <c r="E541" t="s">
        <v>15</v>
      </c>
      <c r="F541" t="s">
        <v>10</v>
      </c>
      <c r="G541" t="s">
        <v>20</v>
      </c>
      <c r="H541">
        <v>908.53</v>
      </c>
      <c r="I541" t="str">
        <f t="shared" si="16"/>
        <v>Feb/2024</v>
      </c>
      <c r="J541">
        <f t="shared" si="17"/>
        <v>274587.65000000008</v>
      </c>
    </row>
    <row r="542" spans="1:10" hidden="1">
      <c r="A542">
        <v>541</v>
      </c>
      <c r="B542">
        <v>16</v>
      </c>
      <c r="C542" t="s">
        <v>19</v>
      </c>
      <c r="D542" s="1">
        <v>45411</v>
      </c>
      <c r="E542" t="s">
        <v>9</v>
      </c>
      <c r="F542" t="s">
        <v>18</v>
      </c>
      <c r="G542" t="s">
        <v>20</v>
      </c>
      <c r="H542">
        <v>371.88</v>
      </c>
      <c r="I542" t="str">
        <f t="shared" si="16"/>
        <v>Apr/2024</v>
      </c>
      <c r="J542">
        <f t="shared" si="17"/>
        <v>274959.53000000009</v>
      </c>
    </row>
    <row r="543" spans="1:10" hidden="1">
      <c r="A543">
        <v>542</v>
      </c>
      <c r="B543">
        <v>49</v>
      </c>
      <c r="C543" t="s">
        <v>12</v>
      </c>
      <c r="D543" s="1">
        <v>45468</v>
      </c>
      <c r="E543" t="s">
        <v>26</v>
      </c>
      <c r="F543" t="s">
        <v>21</v>
      </c>
      <c r="G543" t="s">
        <v>20</v>
      </c>
      <c r="H543">
        <v>960.15</v>
      </c>
      <c r="I543" t="str">
        <f t="shared" si="16"/>
        <v>Jun/2024</v>
      </c>
      <c r="J543">
        <f t="shared" si="17"/>
        <v>275919.68000000011</v>
      </c>
    </row>
    <row r="544" spans="1:10" hidden="1">
      <c r="A544">
        <v>543</v>
      </c>
      <c r="B544">
        <v>76</v>
      </c>
      <c r="C544" t="s">
        <v>8</v>
      </c>
      <c r="D544" s="1">
        <v>45369</v>
      </c>
      <c r="E544" t="s">
        <v>9</v>
      </c>
      <c r="F544" t="s">
        <v>10</v>
      </c>
      <c r="G544" t="s">
        <v>11</v>
      </c>
      <c r="H544">
        <v>73.55</v>
      </c>
      <c r="I544" t="str">
        <f t="shared" si="16"/>
        <v>Mar/2024</v>
      </c>
      <c r="J544">
        <f t="shared" si="17"/>
        <v>275993.2300000001</v>
      </c>
    </row>
    <row r="545" spans="1:10" hidden="1">
      <c r="A545">
        <v>544</v>
      </c>
      <c r="B545">
        <v>56</v>
      </c>
      <c r="C545" t="s">
        <v>19</v>
      </c>
      <c r="D545" s="1">
        <v>45303</v>
      </c>
      <c r="E545" t="s">
        <v>9</v>
      </c>
      <c r="F545" t="s">
        <v>10</v>
      </c>
      <c r="G545" t="s">
        <v>16</v>
      </c>
      <c r="H545">
        <v>615.42999999999995</v>
      </c>
      <c r="I545" t="str">
        <f t="shared" si="16"/>
        <v>Jan/2024</v>
      </c>
      <c r="J545">
        <f t="shared" si="17"/>
        <v>276608.66000000009</v>
      </c>
    </row>
    <row r="546" spans="1:10" hidden="1">
      <c r="A546">
        <v>545</v>
      </c>
      <c r="B546">
        <v>21</v>
      </c>
      <c r="C546" t="s">
        <v>8</v>
      </c>
      <c r="D546" s="1">
        <v>45460</v>
      </c>
      <c r="E546" t="s">
        <v>9</v>
      </c>
      <c r="F546" t="s">
        <v>10</v>
      </c>
      <c r="G546" t="s">
        <v>11</v>
      </c>
      <c r="H546">
        <v>619.02</v>
      </c>
      <c r="I546" t="str">
        <f t="shared" si="16"/>
        <v>Jun/2024</v>
      </c>
      <c r="J546">
        <f t="shared" si="17"/>
        <v>277227.68000000011</v>
      </c>
    </row>
    <row r="547" spans="1:10" hidden="1">
      <c r="A547">
        <v>546</v>
      </c>
      <c r="B547">
        <v>17</v>
      </c>
      <c r="C547" t="s">
        <v>12</v>
      </c>
      <c r="D547" s="1">
        <v>45306</v>
      </c>
      <c r="E547" t="s">
        <v>9</v>
      </c>
      <c r="F547" t="s">
        <v>10</v>
      </c>
      <c r="G547" t="s">
        <v>20</v>
      </c>
      <c r="H547">
        <v>677.64</v>
      </c>
      <c r="I547" t="str">
        <f t="shared" si="16"/>
        <v>Jan/2024</v>
      </c>
      <c r="J547">
        <f t="shared" si="17"/>
        <v>277905.32000000012</v>
      </c>
    </row>
    <row r="548" spans="1:10" hidden="1">
      <c r="A548">
        <v>547</v>
      </c>
      <c r="B548">
        <v>10</v>
      </c>
      <c r="C548" t="s">
        <v>19</v>
      </c>
      <c r="D548" s="1">
        <v>45347</v>
      </c>
      <c r="E548" t="s">
        <v>26</v>
      </c>
      <c r="F548" t="s">
        <v>21</v>
      </c>
      <c r="G548" t="s">
        <v>11</v>
      </c>
      <c r="H548">
        <v>684.16</v>
      </c>
      <c r="I548" t="str">
        <f t="shared" si="16"/>
        <v>Feb/2024</v>
      </c>
      <c r="J548">
        <f t="shared" si="17"/>
        <v>278589.4800000001</v>
      </c>
    </row>
    <row r="549" spans="1:10" hidden="1">
      <c r="A549">
        <v>548</v>
      </c>
      <c r="B549">
        <v>90</v>
      </c>
      <c r="C549" t="s">
        <v>12</v>
      </c>
      <c r="D549" s="1">
        <v>45377</v>
      </c>
      <c r="E549" t="s">
        <v>15</v>
      </c>
      <c r="F549" t="s">
        <v>18</v>
      </c>
      <c r="G549" t="s">
        <v>16</v>
      </c>
      <c r="H549">
        <v>536.37</v>
      </c>
      <c r="I549" t="str">
        <f t="shared" si="16"/>
        <v>Mar/2024</v>
      </c>
      <c r="J549">
        <f t="shared" si="17"/>
        <v>279125.85000000009</v>
      </c>
    </row>
    <row r="550" spans="1:10" hidden="1">
      <c r="A550">
        <v>549</v>
      </c>
      <c r="B550">
        <v>8</v>
      </c>
      <c r="C550" t="s">
        <v>19</v>
      </c>
      <c r="D550" s="1">
        <v>45313</v>
      </c>
      <c r="E550" t="s">
        <v>26</v>
      </c>
      <c r="F550" t="s">
        <v>10</v>
      </c>
      <c r="G550" t="s">
        <v>11</v>
      </c>
      <c r="H550">
        <v>47.22</v>
      </c>
      <c r="I550" t="str">
        <f t="shared" si="16"/>
        <v>Jan/2024</v>
      </c>
      <c r="J550">
        <f t="shared" si="17"/>
        <v>279173.07000000007</v>
      </c>
    </row>
    <row r="551" spans="1:10" hidden="1">
      <c r="A551">
        <v>550</v>
      </c>
      <c r="B551">
        <v>27</v>
      </c>
      <c r="C551" t="s">
        <v>8</v>
      </c>
      <c r="D551" s="1">
        <v>45438</v>
      </c>
      <c r="E551" t="s">
        <v>26</v>
      </c>
      <c r="F551" t="s">
        <v>10</v>
      </c>
      <c r="G551" t="s">
        <v>16</v>
      </c>
      <c r="H551">
        <v>704.44</v>
      </c>
      <c r="I551" t="str">
        <f t="shared" si="16"/>
        <v>May/2024</v>
      </c>
      <c r="J551">
        <f t="shared" si="17"/>
        <v>279877.51000000007</v>
      </c>
    </row>
    <row r="552" spans="1:10" hidden="1">
      <c r="A552">
        <v>551</v>
      </c>
      <c r="B552">
        <v>87</v>
      </c>
      <c r="C552" t="s">
        <v>12</v>
      </c>
      <c r="D552" s="1">
        <v>45397</v>
      </c>
      <c r="E552" t="s">
        <v>26</v>
      </c>
      <c r="F552" t="s">
        <v>10</v>
      </c>
      <c r="G552" t="s">
        <v>16</v>
      </c>
      <c r="H552">
        <v>512.02</v>
      </c>
      <c r="I552" t="str">
        <f t="shared" si="16"/>
        <v>Apr/2024</v>
      </c>
      <c r="J552">
        <f t="shared" si="17"/>
        <v>280389.53000000009</v>
      </c>
    </row>
    <row r="553" spans="1:10" hidden="1">
      <c r="A553">
        <v>552</v>
      </c>
      <c r="B553">
        <v>93</v>
      </c>
      <c r="C553" t="s">
        <v>8</v>
      </c>
      <c r="D553" s="1">
        <v>45447</v>
      </c>
      <c r="E553" t="s">
        <v>9</v>
      </c>
      <c r="F553" t="s">
        <v>10</v>
      </c>
      <c r="G553" t="s">
        <v>16</v>
      </c>
      <c r="H553">
        <v>36.04</v>
      </c>
      <c r="I553" t="str">
        <f t="shared" si="16"/>
        <v>Jun/2024</v>
      </c>
      <c r="J553">
        <f t="shared" si="17"/>
        <v>280425.57000000007</v>
      </c>
    </row>
    <row r="554" spans="1:10" hidden="1">
      <c r="A554">
        <v>553</v>
      </c>
      <c r="B554">
        <v>12</v>
      </c>
      <c r="C554" t="s">
        <v>12</v>
      </c>
      <c r="D554" s="1">
        <v>45301</v>
      </c>
      <c r="E554" t="s">
        <v>26</v>
      </c>
      <c r="F554" t="s">
        <v>18</v>
      </c>
      <c r="G554" t="s">
        <v>20</v>
      </c>
      <c r="H554">
        <v>811.65</v>
      </c>
      <c r="I554" t="str">
        <f t="shared" si="16"/>
        <v>Jan/2024</v>
      </c>
      <c r="J554">
        <f t="shared" si="17"/>
        <v>281237.22000000009</v>
      </c>
    </row>
    <row r="555" spans="1:10" hidden="1">
      <c r="A555">
        <v>554</v>
      </c>
      <c r="B555">
        <v>30</v>
      </c>
      <c r="C555" t="s">
        <v>12</v>
      </c>
      <c r="D555" s="1">
        <v>45319</v>
      </c>
      <c r="E555" t="s">
        <v>15</v>
      </c>
      <c r="F555" t="s">
        <v>18</v>
      </c>
      <c r="G555" t="s">
        <v>16</v>
      </c>
      <c r="H555">
        <v>900.37</v>
      </c>
      <c r="I555" t="str">
        <f t="shared" si="16"/>
        <v>Jan/2024</v>
      </c>
      <c r="J555">
        <f t="shared" si="17"/>
        <v>282137.59000000008</v>
      </c>
    </row>
    <row r="556" spans="1:10" hidden="1">
      <c r="A556">
        <v>555</v>
      </c>
      <c r="B556">
        <v>4</v>
      </c>
      <c r="C556" t="s">
        <v>12</v>
      </c>
      <c r="D556" s="1">
        <v>45357</v>
      </c>
      <c r="E556" t="s">
        <v>9</v>
      </c>
      <c r="F556" t="s">
        <v>10</v>
      </c>
      <c r="G556" t="s">
        <v>16</v>
      </c>
      <c r="H556">
        <v>644.51</v>
      </c>
      <c r="I556" t="str">
        <f t="shared" si="16"/>
        <v>Mar/2024</v>
      </c>
      <c r="J556">
        <f t="shared" si="17"/>
        <v>282782.10000000009</v>
      </c>
    </row>
    <row r="557" spans="1:10" hidden="1">
      <c r="A557">
        <v>556</v>
      </c>
      <c r="B557">
        <v>71</v>
      </c>
      <c r="C557" t="s">
        <v>12</v>
      </c>
      <c r="D557" s="1">
        <v>45333</v>
      </c>
      <c r="E557" t="s">
        <v>26</v>
      </c>
      <c r="F557" t="s">
        <v>10</v>
      </c>
      <c r="G557" t="s">
        <v>11</v>
      </c>
      <c r="H557">
        <v>355.85</v>
      </c>
      <c r="I557" t="str">
        <f t="shared" si="16"/>
        <v>Feb/2024</v>
      </c>
      <c r="J557">
        <f t="shared" si="17"/>
        <v>283137.95000000007</v>
      </c>
    </row>
    <row r="558" spans="1:10" hidden="1">
      <c r="A558">
        <v>557</v>
      </c>
      <c r="B558">
        <v>97</v>
      </c>
      <c r="C558" t="s">
        <v>12</v>
      </c>
      <c r="D558" s="1">
        <v>45354</v>
      </c>
      <c r="E558" t="s">
        <v>15</v>
      </c>
      <c r="F558" t="s">
        <v>10</v>
      </c>
      <c r="G558" t="s">
        <v>20</v>
      </c>
      <c r="H558">
        <v>945.18</v>
      </c>
      <c r="I558" t="str">
        <f t="shared" si="16"/>
        <v>Mar/2024</v>
      </c>
      <c r="J558">
        <f t="shared" si="17"/>
        <v>284083.13000000006</v>
      </c>
    </row>
    <row r="559" spans="1:10" hidden="1">
      <c r="A559">
        <v>558</v>
      </c>
      <c r="B559">
        <v>12</v>
      </c>
      <c r="C559" t="s">
        <v>8</v>
      </c>
      <c r="D559" s="1">
        <v>45395</v>
      </c>
      <c r="E559" t="s">
        <v>15</v>
      </c>
      <c r="F559" t="s">
        <v>10</v>
      </c>
      <c r="G559" t="s">
        <v>11</v>
      </c>
      <c r="H559">
        <v>201.79</v>
      </c>
      <c r="I559" t="str">
        <f t="shared" si="16"/>
        <v>Apr/2024</v>
      </c>
      <c r="J559">
        <f t="shared" si="17"/>
        <v>284284.92000000004</v>
      </c>
    </row>
    <row r="560" spans="1:10" hidden="1">
      <c r="A560">
        <v>559</v>
      </c>
      <c r="B560">
        <v>17</v>
      </c>
      <c r="C560" t="s">
        <v>19</v>
      </c>
      <c r="D560" s="1">
        <v>45348</v>
      </c>
      <c r="E560" t="s">
        <v>15</v>
      </c>
      <c r="F560" t="s">
        <v>10</v>
      </c>
      <c r="G560" t="s">
        <v>20</v>
      </c>
      <c r="H560">
        <v>73</v>
      </c>
      <c r="I560" t="str">
        <f t="shared" si="16"/>
        <v>Feb/2024</v>
      </c>
      <c r="J560">
        <f t="shared" si="17"/>
        <v>284357.92000000004</v>
      </c>
    </row>
    <row r="561" spans="1:10" hidden="1">
      <c r="A561">
        <v>560</v>
      </c>
      <c r="B561">
        <v>94</v>
      </c>
      <c r="C561" t="s">
        <v>19</v>
      </c>
      <c r="D561" s="1">
        <v>45300</v>
      </c>
      <c r="E561" t="s">
        <v>26</v>
      </c>
      <c r="F561" t="s">
        <v>21</v>
      </c>
      <c r="G561" t="s">
        <v>20</v>
      </c>
      <c r="H561">
        <v>769.57</v>
      </c>
      <c r="I561" t="str">
        <f t="shared" si="16"/>
        <v>Jan/2024</v>
      </c>
      <c r="J561">
        <f t="shared" si="17"/>
        <v>285127.49000000005</v>
      </c>
    </row>
    <row r="562" spans="1:10" hidden="1">
      <c r="A562">
        <v>561</v>
      </c>
      <c r="B562">
        <v>45</v>
      </c>
      <c r="C562" t="s">
        <v>12</v>
      </c>
      <c r="D562" s="1">
        <v>45378</v>
      </c>
      <c r="E562" t="s">
        <v>26</v>
      </c>
      <c r="F562" t="s">
        <v>21</v>
      </c>
      <c r="G562" t="s">
        <v>16</v>
      </c>
      <c r="H562">
        <v>930.11</v>
      </c>
      <c r="I562" t="str">
        <f t="shared" si="16"/>
        <v>Mar/2024</v>
      </c>
      <c r="J562">
        <f t="shared" si="17"/>
        <v>286057.60000000003</v>
      </c>
    </row>
    <row r="563" spans="1:10" hidden="1">
      <c r="A563">
        <v>562</v>
      </c>
      <c r="B563">
        <v>72</v>
      </c>
      <c r="C563" t="s">
        <v>19</v>
      </c>
      <c r="D563" s="1">
        <v>45306</v>
      </c>
      <c r="E563" t="s">
        <v>15</v>
      </c>
      <c r="F563" t="s">
        <v>21</v>
      </c>
      <c r="G563" t="s">
        <v>20</v>
      </c>
      <c r="H563">
        <v>554.98</v>
      </c>
      <c r="I563" t="str">
        <f t="shared" si="16"/>
        <v>Jan/2024</v>
      </c>
      <c r="J563">
        <f t="shared" si="17"/>
        <v>286612.58</v>
      </c>
    </row>
    <row r="564" spans="1:10" hidden="1">
      <c r="A564">
        <v>563</v>
      </c>
      <c r="B564">
        <v>56</v>
      </c>
      <c r="C564" t="s">
        <v>12</v>
      </c>
      <c r="D564" s="1">
        <v>45335</v>
      </c>
      <c r="E564" t="s">
        <v>9</v>
      </c>
      <c r="F564" t="s">
        <v>10</v>
      </c>
      <c r="G564" t="s">
        <v>16</v>
      </c>
      <c r="H564">
        <v>826.59</v>
      </c>
      <c r="I564" t="str">
        <f t="shared" si="16"/>
        <v>Feb/2024</v>
      </c>
      <c r="J564">
        <f t="shared" si="17"/>
        <v>287439.17000000004</v>
      </c>
    </row>
    <row r="565" spans="1:10" hidden="1">
      <c r="A565">
        <v>564</v>
      </c>
      <c r="B565">
        <v>93</v>
      </c>
      <c r="C565" t="s">
        <v>12</v>
      </c>
      <c r="D565" s="1">
        <v>45340</v>
      </c>
      <c r="E565" t="s">
        <v>26</v>
      </c>
      <c r="F565" t="s">
        <v>18</v>
      </c>
      <c r="G565" t="s">
        <v>20</v>
      </c>
      <c r="H565">
        <v>362.82</v>
      </c>
      <c r="I565" t="str">
        <f t="shared" si="16"/>
        <v>Feb/2024</v>
      </c>
      <c r="J565">
        <f t="shared" si="17"/>
        <v>287801.99000000005</v>
      </c>
    </row>
    <row r="566" spans="1:10" hidden="1">
      <c r="A566">
        <v>565</v>
      </c>
      <c r="B566">
        <v>58</v>
      </c>
      <c r="C566" t="s">
        <v>8</v>
      </c>
      <c r="D566" s="1">
        <v>45306</v>
      </c>
      <c r="E566" t="s">
        <v>26</v>
      </c>
      <c r="F566" t="s">
        <v>10</v>
      </c>
      <c r="G566" t="s">
        <v>20</v>
      </c>
      <c r="H566">
        <v>946.8</v>
      </c>
      <c r="I566" t="str">
        <f t="shared" si="16"/>
        <v>Jan/2024</v>
      </c>
      <c r="J566">
        <f t="shared" si="17"/>
        <v>288748.79000000004</v>
      </c>
    </row>
    <row r="567" spans="1:10" hidden="1">
      <c r="A567">
        <v>566</v>
      </c>
      <c r="B567">
        <v>96</v>
      </c>
      <c r="C567" t="s">
        <v>19</v>
      </c>
      <c r="D567" s="1">
        <v>45339</v>
      </c>
      <c r="E567" t="s">
        <v>15</v>
      </c>
      <c r="F567" t="s">
        <v>10</v>
      </c>
      <c r="G567" t="s">
        <v>16</v>
      </c>
      <c r="H567">
        <v>192.28</v>
      </c>
      <c r="I567" t="str">
        <f t="shared" si="16"/>
        <v>Feb/2024</v>
      </c>
      <c r="J567">
        <f t="shared" si="17"/>
        <v>288941.07000000007</v>
      </c>
    </row>
    <row r="568" spans="1:10" hidden="1">
      <c r="A568">
        <v>567</v>
      </c>
      <c r="B568">
        <v>38</v>
      </c>
      <c r="C568" t="s">
        <v>12</v>
      </c>
      <c r="D568" s="1">
        <v>45386</v>
      </c>
      <c r="E568" t="s">
        <v>15</v>
      </c>
      <c r="F568" t="s">
        <v>18</v>
      </c>
      <c r="G568" t="s">
        <v>16</v>
      </c>
      <c r="H568">
        <v>383.41</v>
      </c>
      <c r="I568" t="str">
        <f t="shared" si="16"/>
        <v>Apr/2024</v>
      </c>
      <c r="J568">
        <f t="shared" si="17"/>
        <v>289324.48000000004</v>
      </c>
    </row>
    <row r="569" spans="1:10" hidden="1">
      <c r="A569">
        <v>568</v>
      </c>
      <c r="B569">
        <v>62</v>
      </c>
      <c r="C569" t="s">
        <v>8</v>
      </c>
      <c r="D569" s="1">
        <v>45370</v>
      </c>
      <c r="E569" t="s">
        <v>26</v>
      </c>
      <c r="F569" t="s">
        <v>10</v>
      </c>
      <c r="G569" t="s">
        <v>16</v>
      </c>
      <c r="H569">
        <v>132.83000000000001</v>
      </c>
      <c r="I569" t="str">
        <f t="shared" si="16"/>
        <v>Mar/2024</v>
      </c>
      <c r="J569">
        <f t="shared" si="17"/>
        <v>289457.31000000006</v>
      </c>
    </row>
    <row r="570" spans="1:10" hidden="1">
      <c r="A570">
        <v>569</v>
      </c>
      <c r="B570">
        <v>97</v>
      </c>
      <c r="C570" t="s">
        <v>12</v>
      </c>
      <c r="D570" s="1">
        <v>45426</v>
      </c>
      <c r="E570" t="s">
        <v>9</v>
      </c>
      <c r="F570" t="s">
        <v>18</v>
      </c>
      <c r="G570" t="s">
        <v>16</v>
      </c>
      <c r="H570">
        <v>904.32</v>
      </c>
      <c r="I570" t="str">
        <f t="shared" si="16"/>
        <v>May/2024</v>
      </c>
      <c r="J570">
        <f t="shared" si="17"/>
        <v>290361.63000000006</v>
      </c>
    </row>
    <row r="571" spans="1:10" hidden="1">
      <c r="A571">
        <v>570</v>
      </c>
      <c r="B571">
        <v>12</v>
      </c>
      <c r="C571" t="s">
        <v>19</v>
      </c>
      <c r="D571" s="1">
        <v>45373</v>
      </c>
      <c r="E571" t="s">
        <v>15</v>
      </c>
      <c r="F571" t="s">
        <v>18</v>
      </c>
      <c r="G571" t="s">
        <v>11</v>
      </c>
      <c r="H571">
        <v>944.63</v>
      </c>
      <c r="I571" t="str">
        <f t="shared" si="16"/>
        <v>Mar/2024</v>
      </c>
      <c r="J571">
        <f t="shared" si="17"/>
        <v>291306.26000000007</v>
      </c>
    </row>
    <row r="572" spans="1:10" hidden="1">
      <c r="A572">
        <v>571</v>
      </c>
      <c r="B572">
        <v>47</v>
      </c>
      <c r="C572" t="s">
        <v>12</v>
      </c>
      <c r="D572" s="1">
        <v>45401</v>
      </c>
      <c r="E572" t="s">
        <v>26</v>
      </c>
      <c r="F572" t="s">
        <v>18</v>
      </c>
      <c r="G572" t="s">
        <v>20</v>
      </c>
      <c r="H572">
        <v>524.5</v>
      </c>
      <c r="I572" t="str">
        <f t="shared" si="16"/>
        <v>Apr/2024</v>
      </c>
      <c r="J572">
        <f t="shared" si="17"/>
        <v>291830.76000000007</v>
      </c>
    </row>
    <row r="573" spans="1:10" hidden="1">
      <c r="A573">
        <v>572</v>
      </c>
      <c r="B573">
        <v>73</v>
      </c>
      <c r="C573" t="s">
        <v>8</v>
      </c>
      <c r="D573" s="1">
        <v>45339</v>
      </c>
      <c r="E573" t="s">
        <v>15</v>
      </c>
      <c r="F573" t="s">
        <v>18</v>
      </c>
      <c r="G573" t="s">
        <v>11</v>
      </c>
      <c r="H573">
        <v>976.75</v>
      </c>
      <c r="I573" t="str">
        <f t="shared" si="16"/>
        <v>Feb/2024</v>
      </c>
      <c r="J573">
        <f t="shared" si="17"/>
        <v>292807.51000000007</v>
      </c>
    </row>
    <row r="574" spans="1:10" hidden="1">
      <c r="A574">
        <v>573</v>
      </c>
      <c r="B574">
        <v>46</v>
      </c>
      <c r="C574" t="s">
        <v>19</v>
      </c>
      <c r="D574" s="1">
        <v>45349</v>
      </c>
      <c r="E574" t="s">
        <v>15</v>
      </c>
      <c r="F574" t="s">
        <v>18</v>
      </c>
      <c r="G574" t="s">
        <v>11</v>
      </c>
      <c r="H574">
        <v>508.94</v>
      </c>
      <c r="I574" t="str">
        <f t="shared" si="16"/>
        <v>Feb/2024</v>
      </c>
      <c r="J574">
        <f t="shared" si="17"/>
        <v>293316.45000000007</v>
      </c>
    </row>
    <row r="575" spans="1:10" hidden="1">
      <c r="A575">
        <v>574</v>
      </c>
      <c r="B575">
        <v>5</v>
      </c>
      <c r="C575" t="s">
        <v>12</v>
      </c>
      <c r="D575" s="1">
        <v>45312</v>
      </c>
      <c r="E575" t="s">
        <v>9</v>
      </c>
      <c r="F575" t="s">
        <v>18</v>
      </c>
      <c r="G575" t="s">
        <v>11</v>
      </c>
      <c r="H575">
        <v>565.86</v>
      </c>
      <c r="I575" t="str">
        <f t="shared" si="16"/>
        <v>Jan/2024</v>
      </c>
      <c r="J575">
        <f t="shared" si="17"/>
        <v>293882.31000000006</v>
      </c>
    </row>
    <row r="576" spans="1:10" hidden="1">
      <c r="A576">
        <v>575</v>
      </c>
      <c r="B576">
        <v>72</v>
      </c>
      <c r="C576" t="s">
        <v>12</v>
      </c>
      <c r="D576" s="1">
        <v>45358</v>
      </c>
      <c r="E576" t="s">
        <v>9</v>
      </c>
      <c r="F576" t="s">
        <v>10</v>
      </c>
      <c r="G576" t="s">
        <v>11</v>
      </c>
      <c r="H576">
        <v>151.62</v>
      </c>
      <c r="I576" t="str">
        <f t="shared" si="16"/>
        <v>Mar/2024</v>
      </c>
      <c r="J576">
        <f t="shared" si="17"/>
        <v>294033.93000000005</v>
      </c>
    </row>
    <row r="577" spans="1:10" hidden="1">
      <c r="A577">
        <v>576</v>
      </c>
      <c r="B577">
        <v>99</v>
      </c>
      <c r="C577" t="s">
        <v>8</v>
      </c>
      <c r="D577" s="1">
        <v>45392</v>
      </c>
      <c r="E577" t="s">
        <v>26</v>
      </c>
      <c r="F577" t="s">
        <v>18</v>
      </c>
      <c r="G577" t="s">
        <v>16</v>
      </c>
      <c r="H577">
        <v>394.88</v>
      </c>
      <c r="I577" t="str">
        <f t="shared" si="16"/>
        <v>Apr/2024</v>
      </c>
      <c r="J577">
        <f t="shared" si="17"/>
        <v>294428.81000000006</v>
      </c>
    </row>
    <row r="578" spans="1:10" hidden="1">
      <c r="A578">
        <v>577</v>
      </c>
      <c r="B578">
        <v>1</v>
      </c>
      <c r="C578" t="s">
        <v>12</v>
      </c>
      <c r="D578" s="1">
        <v>45403</v>
      </c>
      <c r="E578" t="s">
        <v>26</v>
      </c>
      <c r="F578" t="s">
        <v>18</v>
      </c>
      <c r="G578" t="s">
        <v>11</v>
      </c>
      <c r="H578">
        <v>404.22</v>
      </c>
      <c r="I578" t="str">
        <f t="shared" si="16"/>
        <v>Apr/2024</v>
      </c>
      <c r="J578">
        <f t="shared" si="17"/>
        <v>294833.03000000003</v>
      </c>
    </row>
    <row r="579" spans="1:10" hidden="1">
      <c r="A579">
        <v>578</v>
      </c>
      <c r="B579">
        <v>26</v>
      </c>
      <c r="C579" t="s">
        <v>8</v>
      </c>
      <c r="D579" s="1">
        <v>45452</v>
      </c>
      <c r="E579" t="s">
        <v>9</v>
      </c>
      <c r="F579" t="s">
        <v>10</v>
      </c>
      <c r="G579" t="s">
        <v>11</v>
      </c>
      <c r="H579">
        <v>564.82000000000005</v>
      </c>
      <c r="I579" t="str">
        <f t="shared" ref="I579:I642" si="18">TEXT(D579,"mmm/yyyy")</f>
        <v>Jun/2024</v>
      </c>
      <c r="J579">
        <f t="shared" si="17"/>
        <v>295397.85000000003</v>
      </c>
    </row>
    <row r="580" spans="1:10" hidden="1">
      <c r="A580">
        <v>579</v>
      </c>
      <c r="B580">
        <v>100</v>
      </c>
      <c r="C580" t="s">
        <v>8</v>
      </c>
      <c r="D580" s="1">
        <v>45394</v>
      </c>
      <c r="E580" t="s">
        <v>15</v>
      </c>
      <c r="F580" t="s">
        <v>10</v>
      </c>
      <c r="G580" t="s">
        <v>20</v>
      </c>
      <c r="H580">
        <v>722.21</v>
      </c>
      <c r="I580" t="str">
        <f t="shared" si="18"/>
        <v>Apr/2024</v>
      </c>
      <c r="J580">
        <f t="shared" ref="J580:J643" si="19">J579+H580</f>
        <v>296120.06000000006</v>
      </c>
    </row>
    <row r="581" spans="1:10" hidden="1">
      <c r="A581">
        <v>580</v>
      </c>
      <c r="B581">
        <v>15</v>
      </c>
      <c r="C581" t="s">
        <v>8</v>
      </c>
      <c r="D581" s="1">
        <v>45355</v>
      </c>
      <c r="E581" t="s">
        <v>15</v>
      </c>
      <c r="F581" t="s">
        <v>21</v>
      </c>
      <c r="G581" t="s">
        <v>11</v>
      </c>
      <c r="H581">
        <v>16.05</v>
      </c>
      <c r="I581" t="str">
        <f t="shared" si="18"/>
        <v>Mar/2024</v>
      </c>
      <c r="J581">
        <f t="shared" si="19"/>
        <v>296136.11000000004</v>
      </c>
    </row>
    <row r="582" spans="1:10" hidden="1">
      <c r="A582">
        <v>581</v>
      </c>
      <c r="B582">
        <v>9</v>
      </c>
      <c r="C582" t="s">
        <v>12</v>
      </c>
      <c r="D582" s="1">
        <v>45463</v>
      </c>
      <c r="E582" t="s">
        <v>15</v>
      </c>
      <c r="F582" t="s">
        <v>21</v>
      </c>
      <c r="G582" t="s">
        <v>20</v>
      </c>
      <c r="H582">
        <v>666.31</v>
      </c>
      <c r="I582" t="str">
        <f t="shared" si="18"/>
        <v>Jun/2024</v>
      </c>
      <c r="J582">
        <f t="shared" si="19"/>
        <v>296802.42000000004</v>
      </c>
    </row>
    <row r="583" spans="1:10" hidden="1">
      <c r="A583">
        <v>582</v>
      </c>
      <c r="B583">
        <v>80</v>
      </c>
      <c r="C583" t="s">
        <v>19</v>
      </c>
      <c r="D583" s="1">
        <v>45451</v>
      </c>
      <c r="E583" t="s">
        <v>9</v>
      </c>
      <c r="F583" t="s">
        <v>21</v>
      </c>
      <c r="G583" t="s">
        <v>16</v>
      </c>
      <c r="H583">
        <v>346.73</v>
      </c>
      <c r="I583" t="str">
        <f t="shared" si="18"/>
        <v>Jun/2024</v>
      </c>
      <c r="J583">
        <f t="shared" si="19"/>
        <v>297149.15000000002</v>
      </c>
    </row>
    <row r="584" spans="1:10" hidden="1">
      <c r="A584">
        <v>583</v>
      </c>
      <c r="B584">
        <v>86</v>
      </c>
      <c r="C584" t="s">
        <v>8</v>
      </c>
      <c r="D584" s="1">
        <v>45472</v>
      </c>
      <c r="E584" t="s">
        <v>15</v>
      </c>
      <c r="F584" t="s">
        <v>21</v>
      </c>
      <c r="G584" t="s">
        <v>16</v>
      </c>
      <c r="H584">
        <v>138.41999999999999</v>
      </c>
      <c r="I584" t="str">
        <f t="shared" si="18"/>
        <v>Jun/2024</v>
      </c>
      <c r="J584">
        <f t="shared" si="19"/>
        <v>297287.57</v>
      </c>
    </row>
    <row r="585" spans="1:10" hidden="1">
      <c r="A585">
        <v>584</v>
      </c>
      <c r="B585">
        <v>42</v>
      </c>
      <c r="C585" t="s">
        <v>8</v>
      </c>
      <c r="D585" s="1">
        <v>45472</v>
      </c>
      <c r="E585" t="s">
        <v>9</v>
      </c>
      <c r="F585" t="s">
        <v>10</v>
      </c>
      <c r="G585" t="s">
        <v>11</v>
      </c>
      <c r="H585">
        <v>663.53</v>
      </c>
      <c r="I585" t="str">
        <f t="shared" si="18"/>
        <v>Jun/2024</v>
      </c>
      <c r="J585">
        <f t="shared" si="19"/>
        <v>297951.10000000003</v>
      </c>
    </row>
    <row r="586" spans="1:10" hidden="1">
      <c r="A586">
        <v>585</v>
      </c>
      <c r="B586">
        <v>19</v>
      </c>
      <c r="C586" t="s">
        <v>8</v>
      </c>
      <c r="D586" s="1">
        <v>45444</v>
      </c>
      <c r="E586" t="s">
        <v>26</v>
      </c>
      <c r="F586" t="s">
        <v>18</v>
      </c>
      <c r="G586" t="s">
        <v>16</v>
      </c>
      <c r="H586">
        <v>150.78</v>
      </c>
      <c r="I586" t="str">
        <f t="shared" si="18"/>
        <v>Jun/2024</v>
      </c>
      <c r="J586">
        <f t="shared" si="19"/>
        <v>298101.88000000006</v>
      </c>
    </row>
    <row r="587" spans="1:10" hidden="1">
      <c r="A587">
        <v>586</v>
      </c>
      <c r="B587">
        <v>97</v>
      </c>
      <c r="C587" t="s">
        <v>19</v>
      </c>
      <c r="D587" s="1">
        <v>45362</v>
      </c>
      <c r="E587" t="s">
        <v>26</v>
      </c>
      <c r="F587" t="s">
        <v>18</v>
      </c>
      <c r="G587" t="s">
        <v>16</v>
      </c>
      <c r="H587">
        <v>503.25</v>
      </c>
      <c r="I587" t="str">
        <f t="shared" si="18"/>
        <v>Mar/2024</v>
      </c>
      <c r="J587">
        <f t="shared" si="19"/>
        <v>298605.13000000006</v>
      </c>
    </row>
    <row r="588" spans="1:10" hidden="1">
      <c r="A588">
        <v>587</v>
      </c>
      <c r="B588">
        <v>68</v>
      </c>
      <c r="C588" t="s">
        <v>8</v>
      </c>
      <c r="D588" s="1">
        <v>45325</v>
      </c>
      <c r="E588" t="s">
        <v>26</v>
      </c>
      <c r="F588" t="s">
        <v>21</v>
      </c>
      <c r="G588" t="s">
        <v>20</v>
      </c>
      <c r="H588">
        <v>576.57000000000005</v>
      </c>
      <c r="I588" t="str">
        <f t="shared" si="18"/>
        <v>Feb/2024</v>
      </c>
      <c r="J588">
        <f t="shared" si="19"/>
        <v>299181.70000000007</v>
      </c>
    </row>
    <row r="589" spans="1:10" hidden="1">
      <c r="A589">
        <v>588</v>
      </c>
      <c r="B589">
        <v>40</v>
      </c>
      <c r="C589" t="s">
        <v>8</v>
      </c>
      <c r="D589" s="1">
        <v>45348</v>
      </c>
      <c r="E589" t="s">
        <v>26</v>
      </c>
      <c r="F589" t="s">
        <v>21</v>
      </c>
      <c r="G589" t="s">
        <v>11</v>
      </c>
      <c r="H589">
        <v>204.6</v>
      </c>
      <c r="I589" t="str">
        <f t="shared" si="18"/>
        <v>Feb/2024</v>
      </c>
      <c r="J589">
        <f t="shared" si="19"/>
        <v>299386.30000000005</v>
      </c>
    </row>
    <row r="590" spans="1:10" hidden="1">
      <c r="A590">
        <v>589</v>
      </c>
      <c r="B590">
        <v>8</v>
      </c>
      <c r="C590" t="s">
        <v>8</v>
      </c>
      <c r="D590" s="1">
        <v>45354</v>
      </c>
      <c r="E590" t="s">
        <v>15</v>
      </c>
      <c r="F590" t="s">
        <v>21</v>
      </c>
      <c r="G590" t="s">
        <v>11</v>
      </c>
      <c r="H590">
        <v>410.72</v>
      </c>
      <c r="I590" t="str">
        <f t="shared" si="18"/>
        <v>Mar/2024</v>
      </c>
      <c r="J590">
        <f t="shared" si="19"/>
        <v>299797.02</v>
      </c>
    </row>
    <row r="591" spans="1:10" hidden="1">
      <c r="A591">
        <v>590</v>
      </c>
      <c r="B591">
        <v>90</v>
      </c>
      <c r="C591" t="s">
        <v>8</v>
      </c>
      <c r="D591" s="1">
        <v>45339</v>
      </c>
      <c r="E591" t="s">
        <v>9</v>
      </c>
      <c r="F591" t="s">
        <v>10</v>
      </c>
      <c r="G591" t="s">
        <v>20</v>
      </c>
      <c r="H591">
        <v>50.38</v>
      </c>
      <c r="I591" t="str">
        <f t="shared" si="18"/>
        <v>Feb/2024</v>
      </c>
      <c r="J591">
        <f t="shared" si="19"/>
        <v>299847.40000000002</v>
      </c>
    </row>
    <row r="592" spans="1:10" hidden="1">
      <c r="A592">
        <v>591</v>
      </c>
      <c r="B592">
        <v>90</v>
      </c>
      <c r="C592" t="s">
        <v>12</v>
      </c>
      <c r="D592" s="1">
        <v>45331</v>
      </c>
      <c r="E592" t="s">
        <v>26</v>
      </c>
      <c r="F592" t="s">
        <v>21</v>
      </c>
      <c r="G592" t="s">
        <v>20</v>
      </c>
      <c r="H592">
        <v>400.31</v>
      </c>
      <c r="I592" t="str">
        <f t="shared" si="18"/>
        <v>Feb/2024</v>
      </c>
      <c r="J592">
        <f t="shared" si="19"/>
        <v>300247.71000000002</v>
      </c>
    </row>
    <row r="593" spans="1:10" hidden="1">
      <c r="A593">
        <v>592</v>
      </c>
      <c r="B593">
        <v>7</v>
      </c>
      <c r="C593" t="s">
        <v>8</v>
      </c>
      <c r="D593" s="1">
        <v>45444</v>
      </c>
      <c r="E593" t="s">
        <v>15</v>
      </c>
      <c r="F593" t="s">
        <v>10</v>
      </c>
      <c r="G593" t="s">
        <v>16</v>
      </c>
      <c r="H593">
        <v>301.7</v>
      </c>
      <c r="I593" t="str">
        <f t="shared" si="18"/>
        <v>Jun/2024</v>
      </c>
      <c r="J593">
        <f t="shared" si="19"/>
        <v>300549.41000000003</v>
      </c>
    </row>
    <row r="594" spans="1:10" hidden="1">
      <c r="A594">
        <v>593</v>
      </c>
      <c r="B594">
        <v>73</v>
      </c>
      <c r="C594" t="s">
        <v>12</v>
      </c>
      <c r="D594" s="1">
        <v>45466</v>
      </c>
      <c r="E594" t="s">
        <v>26</v>
      </c>
      <c r="F594" t="s">
        <v>21</v>
      </c>
      <c r="G594" t="s">
        <v>11</v>
      </c>
      <c r="H594">
        <v>64.739999999999995</v>
      </c>
      <c r="I594" t="str">
        <f t="shared" si="18"/>
        <v>Jun/2024</v>
      </c>
      <c r="J594">
        <f t="shared" si="19"/>
        <v>300614.15000000002</v>
      </c>
    </row>
    <row r="595" spans="1:10" hidden="1">
      <c r="A595">
        <v>594</v>
      </c>
      <c r="B595">
        <v>96</v>
      </c>
      <c r="C595" t="s">
        <v>19</v>
      </c>
      <c r="D595" s="1">
        <v>45305</v>
      </c>
      <c r="E595" t="s">
        <v>26</v>
      </c>
      <c r="F595" t="s">
        <v>21</v>
      </c>
      <c r="G595" t="s">
        <v>16</v>
      </c>
      <c r="H595">
        <v>485.27</v>
      </c>
      <c r="I595" t="str">
        <f t="shared" si="18"/>
        <v>Jan/2024</v>
      </c>
      <c r="J595">
        <f t="shared" si="19"/>
        <v>301099.42000000004</v>
      </c>
    </row>
    <row r="596" spans="1:10" hidden="1">
      <c r="A596">
        <v>595</v>
      </c>
      <c r="B596">
        <v>60</v>
      </c>
      <c r="C596" t="s">
        <v>19</v>
      </c>
      <c r="D596" s="1">
        <v>45464</v>
      </c>
      <c r="E596" t="s">
        <v>26</v>
      </c>
      <c r="F596" t="s">
        <v>21</v>
      </c>
      <c r="G596" t="s">
        <v>16</v>
      </c>
      <c r="H596">
        <v>194.44</v>
      </c>
      <c r="I596" t="str">
        <f t="shared" si="18"/>
        <v>Jun/2024</v>
      </c>
      <c r="J596">
        <f t="shared" si="19"/>
        <v>301293.86000000004</v>
      </c>
    </row>
    <row r="597" spans="1:10" hidden="1">
      <c r="A597">
        <v>596</v>
      </c>
      <c r="B597">
        <v>74</v>
      </c>
      <c r="C597" t="s">
        <v>8</v>
      </c>
      <c r="D597" s="1">
        <v>45459</v>
      </c>
      <c r="E597" t="s">
        <v>15</v>
      </c>
      <c r="F597" t="s">
        <v>21</v>
      </c>
      <c r="G597" t="s">
        <v>16</v>
      </c>
      <c r="H597">
        <v>891.01</v>
      </c>
      <c r="I597" t="str">
        <f t="shared" si="18"/>
        <v>Jun/2024</v>
      </c>
      <c r="J597">
        <f t="shared" si="19"/>
        <v>302184.87000000005</v>
      </c>
    </row>
    <row r="598" spans="1:10" hidden="1">
      <c r="A598">
        <v>597</v>
      </c>
      <c r="B598">
        <v>26</v>
      </c>
      <c r="C598" t="s">
        <v>19</v>
      </c>
      <c r="D598" s="1">
        <v>45401</v>
      </c>
      <c r="E598" t="s">
        <v>15</v>
      </c>
      <c r="F598" t="s">
        <v>18</v>
      </c>
      <c r="G598" t="s">
        <v>16</v>
      </c>
      <c r="H598">
        <v>267.51</v>
      </c>
      <c r="I598" t="str">
        <f t="shared" si="18"/>
        <v>Apr/2024</v>
      </c>
      <c r="J598">
        <f t="shared" si="19"/>
        <v>302452.38000000006</v>
      </c>
    </row>
    <row r="599" spans="1:10" hidden="1">
      <c r="A599">
        <v>598</v>
      </c>
      <c r="B599">
        <v>50</v>
      </c>
      <c r="C599" t="s">
        <v>12</v>
      </c>
      <c r="D599" s="1">
        <v>45451</v>
      </c>
      <c r="E599" t="s">
        <v>9</v>
      </c>
      <c r="F599" t="s">
        <v>18</v>
      </c>
      <c r="G599" t="s">
        <v>16</v>
      </c>
      <c r="H599">
        <v>151.43</v>
      </c>
      <c r="I599" t="str">
        <f t="shared" si="18"/>
        <v>Jun/2024</v>
      </c>
      <c r="J599">
        <f t="shared" si="19"/>
        <v>302603.81000000006</v>
      </c>
    </row>
    <row r="600" spans="1:10" hidden="1">
      <c r="A600">
        <v>599</v>
      </c>
      <c r="B600">
        <v>36</v>
      </c>
      <c r="C600" t="s">
        <v>12</v>
      </c>
      <c r="D600" s="1">
        <v>45402</v>
      </c>
      <c r="E600" t="s">
        <v>15</v>
      </c>
      <c r="F600" t="s">
        <v>18</v>
      </c>
      <c r="G600" t="s">
        <v>20</v>
      </c>
      <c r="H600">
        <v>297.76</v>
      </c>
      <c r="I600" t="str">
        <f t="shared" si="18"/>
        <v>Apr/2024</v>
      </c>
      <c r="J600">
        <f t="shared" si="19"/>
        <v>302901.57000000007</v>
      </c>
    </row>
    <row r="601" spans="1:10" hidden="1">
      <c r="A601">
        <v>600</v>
      </c>
      <c r="B601">
        <v>46</v>
      </c>
      <c r="C601" t="s">
        <v>19</v>
      </c>
      <c r="D601" s="1">
        <v>45403</v>
      </c>
      <c r="E601" t="s">
        <v>9</v>
      </c>
      <c r="F601" t="s">
        <v>18</v>
      </c>
      <c r="G601" t="s">
        <v>20</v>
      </c>
      <c r="H601">
        <v>663.35</v>
      </c>
      <c r="I601" t="str">
        <f t="shared" si="18"/>
        <v>Apr/2024</v>
      </c>
      <c r="J601">
        <f t="shared" si="19"/>
        <v>303564.92000000004</v>
      </c>
    </row>
    <row r="602" spans="1:10" hidden="1">
      <c r="A602">
        <v>601</v>
      </c>
      <c r="B602">
        <v>46</v>
      </c>
      <c r="C602" t="s">
        <v>8</v>
      </c>
      <c r="D602" s="1">
        <v>45406</v>
      </c>
      <c r="E602" t="s">
        <v>15</v>
      </c>
      <c r="F602" t="s">
        <v>21</v>
      </c>
      <c r="G602" t="s">
        <v>11</v>
      </c>
      <c r="H602">
        <v>927.75</v>
      </c>
      <c r="I602" t="str">
        <f t="shared" si="18"/>
        <v>Apr/2024</v>
      </c>
      <c r="J602">
        <f t="shared" si="19"/>
        <v>304492.67000000004</v>
      </c>
    </row>
    <row r="603" spans="1:10" hidden="1">
      <c r="A603">
        <v>602</v>
      </c>
      <c r="B603">
        <v>74</v>
      </c>
      <c r="C603" t="s">
        <v>19</v>
      </c>
      <c r="D603" s="1">
        <v>45332</v>
      </c>
      <c r="E603" t="s">
        <v>26</v>
      </c>
      <c r="F603" t="s">
        <v>21</v>
      </c>
      <c r="G603" t="s">
        <v>11</v>
      </c>
      <c r="H603">
        <v>283.60000000000002</v>
      </c>
      <c r="I603" t="str">
        <f t="shared" si="18"/>
        <v>Feb/2024</v>
      </c>
      <c r="J603">
        <f t="shared" si="19"/>
        <v>304776.27</v>
      </c>
    </row>
    <row r="604" spans="1:10" hidden="1">
      <c r="A604">
        <v>603</v>
      </c>
      <c r="B604">
        <v>45</v>
      </c>
      <c r="C604" t="s">
        <v>8</v>
      </c>
      <c r="D604" s="1">
        <v>45372</v>
      </c>
      <c r="E604" t="s">
        <v>26</v>
      </c>
      <c r="F604" t="s">
        <v>21</v>
      </c>
      <c r="G604" t="s">
        <v>20</v>
      </c>
      <c r="H604">
        <v>919.65</v>
      </c>
      <c r="I604" t="str">
        <f t="shared" si="18"/>
        <v>Mar/2024</v>
      </c>
      <c r="J604">
        <f t="shared" si="19"/>
        <v>305695.92000000004</v>
      </c>
    </row>
    <row r="605" spans="1:10" hidden="1">
      <c r="A605">
        <v>604</v>
      </c>
      <c r="B605">
        <v>100</v>
      </c>
      <c r="C605" t="s">
        <v>12</v>
      </c>
      <c r="D605" s="1">
        <v>45376</v>
      </c>
      <c r="E605" t="s">
        <v>26</v>
      </c>
      <c r="F605" t="s">
        <v>18</v>
      </c>
      <c r="G605" t="s">
        <v>11</v>
      </c>
      <c r="H605">
        <v>302.29000000000002</v>
      </c>
      <c r="I605" t="str">
        <f t="shared" si="18"/>
        <v>Mar/2024</v>
      </c>
      <c r="J605">
        <f t="shared" si="19"/>
        <v>305998.21000000002</v>
      </c>
    </row>
    <row r="606" spans="1:10" hidden="1">
      <c r="A606">
        <v>605</v>
      </c>
      <c r="B606">
        <v>63</v>
      </c>
      <c r="C606" t="s">
        <v>12</v>
      </c>
      <c r="D606" s="1">
        <v>45439</v>
      </c>
      <c r="E606" t="s">
        <v>26</v>
      </c>
      <c r="F606" t="s">
        <v>21</v>
      </c>
      <c r="G606" t="s">
        <v>16</v>
      </c>
      <c r="H606">
        <v>309.52999999999997</v>
      </c>
      <c r="I606" t="str">
        <f t="shared" si="18"/>
        <v>May/2024</v>
      </c>
      <c r="J606">
        <f t="shared" si="19"/>
        <v>306307.74000000005</v>
      </c>
    </row>
    <row r="607" spans="1:10" hidden="1">
      <c r="A607">
        <v>606</v>
      </c>
      <c r="B607">
        <v>63</v>
      </c>
      <c r="C607" t="s">
        <v>8</v>
      </c>
      <c r="D607" s="1">
        <v>45395</v>
      </c>
      <c r="E607" t="s">
        <v>26</v>
      </c>
      <c r="F607" t="s">
        <v>10</v>
      </c>
      <c r="G607" t="s">
        <v>20</v>
      </c>
      <c r="H607">
        <v>478.6</v>
      </c>
      <c r="I607" t="str">
        <f t="shared" si="18"/>
        <v>Apr/2024</v>
      </c>
      <c r="J607">
        <f t="shared" si="19"/>
        <v>306786.34000000003</v>
      </c>
    </row>
    <row r="608" spans="1:10" hidden="1">
      <c r="A608">
        <v>607</v>
      </c>
      <c r="B608">
        <v>75</v>
      </c>
      <c r="C608" t="s">
        <v>19</v>
      </c>
      <c r="D608" s="1">
        <v>45442</v>
      </c>
      <c r="E608" t="s">
        <v>9</v>
      </c>
      <c r="F608" t="s">
        <v>10</v>
      </c>
      <c r="G608" t="s">
        <v>11</v>
      </c>
      <c r="H608">
        <v>419.58</v>
      </c>
      <c r="I608" t="str">
        <f t="shared" si="18"/>
        <v>May/2024</v>
      </c>
      <c r="J608">
        <f t="shared" si="19"/>
        <v>307205.92000000004</v>
      </c>
    </row>
    <row r="609" spans="1:10" hidden="1">
      <c r="A609">
        <v>608</v>
      </c>
      <c r="B609">
        <v>5</v>
      </c>
      <c r="C609" t="s">
        <v>19</v>
      </c>
      <c r="D609" s="1">
        <v>45376</v>
      </c>
      <c r="E609" t="s">
        <v>26</v>
      </c>
      <c r="F609" t="s">
        <v>10</v>
      </c>
      <c r="G609" t="s">
        <v>16</v>
      </c>
      <c r="H609">
        <v>685.3</v>
      </c>
      <c r="I609" t="str">
        <f t="shared" si="18"/>
        <v>Mar/2024</v>
      </c>
      <c r="J609">
        <f t="shared" si="19"/>
        <v>307891.22000000003</v>
      </c>
    </row>
    <row r="610" spans="1:10" hidden="1">
      <c r="A610">
        <v>609</v>
      </c>
      <c r="B610">
        <v>5</v>
      </c>
      <c r="C610" t="s">
        <v>8</v>
      </c>
      <c r="D610" s="1">
        <v>45418</v>
      </c>
      <c r="E610" t="s">
        <v>15</v>
      </c>
      <c r="F610" t="s">
        <v>18</v>
      </c>
      <c r="G610" t="s">
        <v>11</v>
      </c>
      <c r="H610">
        <v>390.64</v>
      </c>
      <c r="I610" t="str">
        <f t="shared" si="18"/>
        <v>May/2024</v>
      </c>
      <c r="J610">
        <f t="shared" si="19"/>
        <v>308281.86000000004</v>
      </c>
    </row>
    <row r="611" spans="1:10">
      <c r="A611">
        <v>610</v>
      </c>
      <c r="B611">
        <v>81</v>
      </c>
      <c r="C611" t="s">
        <v>19</v>
      </c>
      <c r="D611" s="1">
        <v>45424</v>
      </c>
      <c r="E611" t="s">
        <v>15</v>
      </c>
      <c r="F611" t="s">
        <v>10</v>
      </c>
      <c r="G611" t="s">
        <v>20</v>
      </c>
      <c r="H611">
        <v>837.9</v>
      </c>
      <c r="I611" t="str">
        <f t="shared" si="18"/>
        <v>May/2024</v>
      </c>
      <c r="J611">
        <f t="shared" si="19"/>
        <v>309119.76000000007</v>
      </c>
    </row>
    <row r="612" spans="1:10" hidden="1">
      <c r="A612">
        <v>611</v>
      </c>
      <c r="B612">
        <v>80</v>
      </c>
      <c r="C612" t="s">
        <v>12</v>
      </c>
      <c r="D612" s="1">
        <v>45311</v>
      </c>
      <c r="E612" t="s">
        <v>15</v>
      </c>
      <c r="F612" t="s">
        <v>10</v>
      </c>
      <c r="G612" t="s">
        <v>20</v>
      </c>
      <c r="H612">
        <v>67.819999999999993</v>
      </c>
      <c r="I612" t="str">
        <f t="shared" si="18"/>
        <v>Jan/2024</v>
      </c>
      <c r="J612">
        <f t="shared" si="19"/>
        <v>309187.58000000007</v>
      </c>
    </row>
    <row r="613" spans="1:10" hidden="1">
      <c r="A613">
        <v>612</v>
      </c>
      <c r="B613">
        <v>56</v>
      </c>
      <c r="C613" t="s">
        <v>8</v>
      </c>
      <c r="D613" s="1">
        <v>45395</v>
      </c>
      <c r="E613" t="s">
        <v>15</v>
      </c>
      <c r="F613" t="s">
        <v>10</v>
      </c>
      <c r="G613" t="s">
        <v>20</v>
      </c>
      <c r="H613">
        <v>21.12</v>
      </c>
      <c r="I613" t="str">
        <f t="shared" si="18"/>
        <v>Apr/2024</v>
      </c>
      <c r="J613">
        <f t="shared" si="19"/>
        <v>309208.70000000007</v>
      </c>
    </row>
    <row r="614" spans="1:10" hidden="1">
      <c r="A614">
        <v>613</v>
      </c>
      <c r="B614">
        <v>68</v>
      </c>
      <c r="C614" t="s">
        <v>8</v>
      </c>
      <c r="D614" s="1">
        <v>45299</v>
      </c>
      <c r="E614" t="s">
        <v>26</v>
      </c>
      <c r="F614" t="s">
        <v>21</v>
      </c>
      <c r="G614" t="s">
        <v>11</v>
      </c>
      <c r="H614">
        <v>700.72</v>
      </c>
      <c r="I614" t="str">
        <f t="shared" si="18"/>
        <v>Jan/2024</v>
      </c>
      <c r="J614">
        <f t="shared" si="19"/>
        <v>309909.42000000004</v>
      </c>
    </row>
    <row r="615" spans="1:10" hidden="1">
      <c r="A615">
        <v>614</v>
      </c>
      <c r="B615">
        <v>67</v>
      </c>
      <c r="C615" t="s">
        <v>19</v>
      </c>
      <c r="D615" s="1">
        <v>45309</v>
      </c>
      <c r="E615" t="s">
        <v>26</v>
      </c>
      <c r="F615" t="s">
        <v>18</v>
      </c>
      <c r="G615" t="s">
        <v>20</v>
      </c>
      <c r="H615">
        <v>893.3</v>
      </c>
      <c r="I615" t="str">
        <f t="shared" si="18"/>
        <v>Jan/2024</v>
      </c>
      <c r="J615">
        <f t="shared" si="19"/>
        <v>310802.72000000003</v>
      </c>
    </row>
    <row r="616" spans="1:10" hidden="1">
      <c r="A616">
        <v>615</v>
      </c>
      <c r="B616">
        <v>53</v>
      </c>
      <c r="C616" t="s">
        <v>19</v>
      </c>
      <c r="D616" s="1">
        <v>45353</v>
      </c>
      <c r="E616" t="s">
        <v>26</v>
      </c>
      <c r="F616" t="s">
        <v>21</v>
      </c>
      <c r="G616" t="s">
        <v>16</v>
      </c>
      <c r="H616">
        <v>736.75</v>
      </c>
      <c r="I616" t="str">
        <f t="shared" si="18"/>
        <v>Mar/2024</v>
      </c>
      <c r="J616">
        <f t="shared" si="19"/>
        <v>311539.47000000003</v>
      </c>
    </row>
    <row r="617" spans="1:10">
      <c r="A617">
        <v>616</v>
      </c>
      <c r="B617">
        <v>81</v>
      </c>
      <c r="C617" t="s">
        <v>12</v>
      </c>
      <c r="D617" s="1">
        <v>45360</v>
      </c>
      <c r="E617" t="s">
        <v>15</v>
      </c>
      <c r="F617" t="s">
        <v>18</v>
      </c>
      <c r="G617" t="s">
        <v>20</v>
      </c>
      <c r="H617">
        <v>803.54</v>
      </c>
      <c r="I617" t="str">
        <f t="shared" si="18"/>
        <v>Mar/2024</v>
      </c>
      <c r="J617">
        <f t="shared" si="19"/>
        <v>312343.01</v>
      </c>
    </row>
    <row r="618" spans="1:10" hidden="1">
      <c r="A618">
        <v>617</v>
      </c>
      <c r="B618">
        <v>47</v>
      </c>
      <c r="C618" t="s">
        <v>12</v>
      </c>
      <c r="D618" s="1">
        <v>45374</v>
      </c>
      <c r="E618" t="s">
        <v>15</v>
      </c>
      <c r="F618" t="s">
        <v>21</v>
      </c>
      <c r="G618" t="s">
        <v>16</v>
      </c>
      <c r="H618">
        <v>21.17</v>
      </c>
      <c r="I618" t="str">
        <f t="shared" si="18"/>
        <v>Mar/2024</v>
      </c>
      <c r="J618">
        <f t="shared" si="19"/>
        <v>312364.18</v>
      </c>
    </row>
    <row r="619" spans="1:10" hidden="1">
      <c r="A619">
        <v>618</v>
      </c>
      <c r="B619">
        <v>92</v>
      </c>
      <c r="C619" t="s">
        <v>12</v>
      </c>
      <c r="D619" s="1">
        <v>45351</v>
      </c>
      <c r="E619" t="s">
        <v>9</v>
      </c>
      <c r="F619" t="s">
        <v>10</v>
      </c>
      <c r="G619" t="s">
        <v>20</v>
      </c>
      <c r="H619">
        <v>678.59</v>
      </c>
      <c r="I619" t="str">
        <f t="shared" si="18"/>
        <v>Feb/2024</v>
      </c>
      <c r="J619">
        <f t="shared" si="19"/>
        <v>313042.77</v>
      </c>
    </row>
    <row r="620" spans="1:10" hidden="1">
      <c r="A620">
        <v>619</v>
      </c>
      <c r="B620">
        <v>87</v>
      </c>
      <c r="C620" t="s">
        <v>12</v>
      </c>
      <c r="D620" s="1">
        <v>45340</v>
      </c>
      <c r="E620" t="s">
        <v>9</v>
      </c>
      <c r="F620" t="s">
        <v>21</v>
      </c>
      <c r="G620" t="s">
        <v>16</v>
      </c>
      <c r="H620">
        <v>220.01</v>
      </c>
      <c r="I620" t="str">
        <f t="shared" si="18"/>
        <v>Feb/2024</v>
      </c>
      <c r="J620">
        <f t="shared" si="19"/>
        <v>313262.78000000003</v>
      </c>
    </row>
    <row r="621" spans="1:10" hidden="1">
      <c r="A621">
        <v>620</v>
      </c>
      <c r="B621">
        <v>51</v>
      </c>
      <c r="C621" t="s">
        <v>19</v>
      </c>
      <c r="D621" s="1">
        <v>45325</v>
      </c>
      <c r="E621" t="s">
        <v>15</v>
      </c>
      <c r="F621" t="s">
        <v>18</v>
      </c>
      <c r="G621" t="s">
        <v>20</v>
      </c>
      <c r="H621">
        <v>251.67</v>
      </c>
      <c r="I621" t="str">
        <f t="shared" si="18"/>
        <v>Feb/2024</v>
      </c>
      <c r="J621">
        <f t="shared" si="19"/>
        <v>313514.45</v>
      </c>
    </row>
    <row r="622" spans="1:10" hidden="1">
      <c r="A622">
        <v>621</v>
      </c>
      <c r="B622">
        <v>61</v>
      </c>
      <c r="C622" t="s">
        <v>8</v>
      </c>
      <c r="D622" s="1">
        <v>45392</v>
      </c>
      <c r="E622" t="s">
        <v>26</v>
      </c>
      <c r="F622" t="s">
        <v>18</v>
      </c>
      <c r="G622" t="s">
        <v>20</v>
      </c>
      <c r="H622">
        <v>808.85</v>
      </c>
      <c r="I622" t="str">
        <f t="shared" si="18"/>
        <v>Apr/2024</v>
      </c>
      <c r="J622">
        <f t="shared" si="19"/>
        <v>314323.3</v>
      </c>
    </row>
    <row r="623" spans="1:10" hidden="1">
      <c r="A623">
        <v>622</v>
      </c>
      <c r="B623">
        <v>87</v>
      </c>
      <c r="C623" t="s">
        <v>8</v>
      </c>
      <c r="D623" s="1">
        <v>45297</v>
      </c>
      <c r="E623" t="s">
        <v>15</v>
      </c>
      <c r="F623" t="s">
        <v>10</v>
      </c>
      <c r="G623" t="s">
        <v>20</v>
      </c>
      <c r="H623">
        <v>537.35</v>
      </c>
      <c r="I623" t="str">
        <f t="shared" si="18"/>
        <v>Jan/2024</v>
      </c>
      <c r="J623">
        <f t="shared" si="19"/>
        <v>314860.64999999997</v>
      </c>
    </row>
    <row r="624" spans="1:10" hidden="1">
      <c r="A624">
        <v>623</v>
      </c>
      <c r="B624">
        <v>8</v>
      </c>
      <c r="C624" t="s">
        <v>19</v>
      </c>
      <c r="D624" s="1">
        <v>45388</v>
      </c>
      <c r="E624" t="s">
        <v>9</v>
      </c>
      <c r="F624" t="s">
        <v>21</v>
      </c>
      <c r="G624" t="s">
        <v>20</v>
      </c>
      <c r="H624">
        <v>178.3</v>
      </c>
      <c r="I624" t="str">
        <f t="shared" si="18"/>
        <v>Apr/2024</v>
      </c>
      <c r="J624">
        <f t="shared" si="19"/>
        <v>315038.94999999995</v>
      </c>
    </row>
    <row r="625" spans="1:10" hidden="1">
      <c r="A625">
        <v>624</v>
      </c>
      <c r="B625">
        <v>56</v>
      </c>
      <c r="C625" t="s">
        <v>19</v>
      </c>
      <c r="D625" s="1">
        <v>45300</v>
      </c>
      <c r="E625" t="s">
        <v>15</v>
      </c>
      <c r="F625" t="s">
        <v>18</v>
      </c>
      <c r="G625" t="s">
        <v>11</v>
      </c>
      <c r="H625">
        <v>638.79999999999995</v>
      </c>
      <c r="I625" t="str">
        <f t="shared" si="18"/>
        <v>Jan/2024</v>
      </c>
      <c r="J625">
        <f t="shared" si="19"/>
        <v>315677.74999999994</v>
      </c>
    </row>
    <row r="626" spans="1:10" hidden="1">
      <c r="A626">
        <v>625</v>
      </c>
      <c r="B626">
        <v>98</v>
      </c>
      <c r="C626" t="s">
        <v>12</v>
      </c>
      <c r="D626" s="1">
        <v>45467</v>
      </c>
      <c r="E626" t="s">
        <v>15</v>
      </c>
      <c r="F626" t="s">
        <v>18</v>
      </c>
      <c r="G626" t="s">
        <v>16</v>
      </c>
      <c r="H626">
        <v>770.66</v>
      </c>
      <c r="I626" t="str">
        <f t="shared" si="18"/>
        <v>Jun/2024</v>
      </c>
      <c r="J626">
        <f t="shared" si="19"/>
        <v>316448.40999999992</v>
      </c>
    </row>
    <row r="627" spans="1:10" hidden="1">
      <c r="A627">
        <v>626</v>
      </c>
      <c r="B627">
        <v>7</v>
      </c>
      <c r="C627" t="s">
        <v>8</v>
      </c>
      <c r="D627" s="1">
        <v>45401</v>
      </c>
      <c r="E627" t="s">
        <v>9</v>
      </c>
      <c r="F627" t="s">
        <v>10</v>
      </c>
      <c r="G627" t="s">
        <v>11</v>
      </c>
      <c r="H627">
        <v>289.27</v>
      </c>
      <c r="I627" t="str">
        <f t="shared" si="18"/>
        <v>Apr/2024</v>
      </c>
      <c r="J627">
        <f t="shared" si="19"/>
        <v>316737.67999999993</v>
      </c>
    </row>
    <row r="628" spans="1:10" hidden="1">
      <c r="A628">
        <v>627</v>
      </c>
      <c r="B628">
        <v>24</v>
      </c>
      <c r="C628" t="s">
        <v>8</v>
      </c>
      <c r="D628" s="1">
        <v>45427</v>
      </c>
      <c r="E628" t="s">
        <v>9</v>
      </c>
      <c r="F628" t="s">
        <v>10</v>
      </c>
      <c r="G628" t="s">
        <v>16</v>
      </c>
      <c r="H628">
        <v>779.02</v>
      </c>
      <c r="I628" t="str">
        <f t="shared" si="18"/>
        <v>May/2024</v>
      </c>
      <c r="J628">
        <f t="shared" si="19"/>
        <v>317516.69999999995</v>
      </c>
    </row>
    <row r="629" spans="1:10" hidden="1">
      <c r="A629">
        <v>628</v>
      </c>
      <c r="B629">
        <v>23</v>
      </c>
      <c r="C629" t="s">
        <v>8</v>
      </c>
      <c r="D629" s="1">
        <v>45295</v>
      </c>
      <c r="E629" t="s">
        <v>26</v>
      </c>
      <c r="F629" t="s">
        <v>21</v>
      </c>
      <c r="G629" t="s">
        <v>16</v>
      </c>
      <c r="H629">
        <v>704.06</v>
      </c>
      <c r="I629" t="str">
        <f t="shared" si="18"/>
        <v>Jan/2024</v>
      </c>
      <c r="J629">
        <f t="shared" si="19"/>
        <v>318220.75999999995</v>
      </c>
    </row>
    <row r="630" spans="1:10" hidden="1">
      <c r="A630">
        <v>629</v>
      </c>
      <c r="B630">
        <v>43</v>
      </c>
      <c r="C630" t="s">
        <v>12</v>
      </c>
      <c r="D630" s="1">
        <v>45398</v>
      </c>
      <c r="E630" t="s">
        <v>15</v>
      </c>
      <c r="F630" t="s">
        <v>18</v>
      </c>
      <c r="G630" t="s">
        <v>11</v>
      </c>
      <c r="H630">
        <v>546.41999999999996</v>
      </c>
      <c r="I630" t="str">
        <f t="shared" si="18"/>
        <v>Apr/2024</v>
      </c>
      <c r="J630">
        <f t="shared" si="19"/>
        <v>318767.17999999993</v>
      </c>
    </row>
    <row r="631" spans="1:10" hidden="1">
      <c r="A631">
        <v>630</v>
      </c>
      <c r="B631">
        <v>95</v>
      </c>
      <c r="C631" t="s">
        <v>12</v>
      </c>
      <c r="D631" s="1">
        <v>45466</v>
      </c>
      <c r="E631" t="s">
        <v>9</v>
      </c>
      <c r="F631" t="s">
        <v>21</v>
      </c>
      <c r="G631" t="s">
        <v>11</v>
      </c>
      <c r="H631">
        <v>780.89</v>
      </c>
      <c r="I631" t="str">
        <f t="shared" si="18"/>
        <v>Jun/2024</v>
      </c>
      <c r="J631">
        <f t="shared" si="19"/>
        <v>319548.06999999995</v>
      </c>
    </row>
    <row r="632" spans="1:10" hidden="1">
      <c r="A632">
        <v>631</v>
      </c>
      <c r="B632">
        <v>13</v>
      </c>
      <c r="C632" t="s">
        <v>19</v>
      </c>
      <c r="D632" s="1">
        <v>45415</v>
      </c>
      <c r="E632" t="s">
        <v>26</v>
      </c>
      <c r="F632" t="s">
        <v>10</v>
      </c>
      <c r="G632" t="s">
        <v>20</v>
      </c>
      <c r="H632">
        <v>303.08</v>
      </c>
      <c r="I632" t="str">
        <f t="shared" si="18"/>
        <v>May/2024</v>
      </c>
      <c r="J632">
        <f t="shared" si="19"/>
        <v>319851.14999999997</v>
      </c>
    </row>
    <row r="633" spans="1:10" hidden="1">
      <c r="A633">
        <v>632</v>
      </c>
      <c r="B633">
        <v>72</v>
      </c>
      <c r="C633" t="s">
        <v>8</v>
      </c>
      <c r="D633" s="1">
        <v>45416</v>
      </c>
      <c r="E633" t="s">
        <v>15</v>
      </c>
      <c r="F633" t="s">
        <v>10</v>
      </c>
      <c r="G633" t="s">
        <v>16</v>
      </c>
      <c r="H633">
        <v>557.57000000000005</v>
      </c>
      <c r="I633" t="str">
        <f t="shared" si="18"/>
        <v>May/2024</v>
      </c>
      <c r="J633">
        <f t="shared" si="19"/>
        <v>320408.71999999997</v>
      </c>
    </row>
    <row r="634" spans="1:10" hidden="1">
      <c r="A634">
        <v>633</v>
      </c>
      <c r="B634">
        <v>28</v>
      </c>
      <c r="C634" t="s">
        <v>12</v>
      </c>
      <c r="D634" s="1">
        <v>45319</v>
      </c>
      <c r="E634" t="s">
        <v>9</v>
      </c>
      <c r="F634" t="s">
        <v>10</v>
      </c>
      <c r="G634" t="s">
        <v>20</v>
      </c>
      <c r="H634">
        <v>222.11</v>
      </c>
      <c r="I634" t="str">
        <f t="shared" si="18"/>
        <v>Jan/2024</v>
      </c>
      <c r="J634">
        <f t="shared" si="19"/>
        <v>320630.82999999996</v>
      </c>
    </row>
    <row r="635" spans="1:10" hidden="1">
      <c r="A635">
        <v>634</v>
      </c>
      <c r="B635">
        <v>94</v>
      </c>
      <c r="C635" t="s">
        <v>12</v>
      </c>
      <c r="D635" s="1">
        <v>45435</v>
      </c>
      <c r="E635" t="s">
        <v>15</v>
      </c>
      <c r="F635" t="s">
        <v>10</v>
      </c>
      <c r="G635" t="s">
        <v>11</v>
      </c>
      <c r="H635">
        <v>575.47</v>
      </c>
      <c r="I635" t="str">
        <f t="shared" si="18"/>
        <v>May/2024</v>
      </c>
      <c r="J635">
        <f t="shared" si="19"/>
        <v>321206.29999999993</v>
      </c>
    </row>
    <row r="636" spans="1:10" hidden="1">
      <c r="A636">
        <v>635</v>
      </c>
      <c r="B636">
        <v>60</v>
      </c>
      <c r="C636" t="s">
        <v>8</v>
      </c>
      <c r="D636" s="1">
        <v>45457</v>
      </c>
      <c r="E636" t="s">
        <v>9</v>
      </c>
      <c r="F636" t="s">
        <v>10</v>
      </c>
      <c r="G636" t="s">
        <v>16</v>
      </c>
      <c r="H636">
        <v>478.44</v>
      </c>
      <c r="I636" t="str">
        <f t="shared" si="18"/>
        <v>Jun/2024</v>
      </c>
      <c r="J636">
        <f t="shared" si="19"/>
        <v>321684.73999999993</v>
      </c>
    </row>
    <row r="637" spans="1:10" hidden="1">
      <c r="A637">
        <v>636</v>
      </c>
      <c r="B637">
        <v>17</v>
      </c>
      <c r="C637" t="s">
        <v>12</v>
      </c>
      <c r="D637" s="1">
        <v>45327</v>
      </c>
      <c r="E637" t="s">
        <v>26</v>
      </c>
      <c r="F637" t="s">
        <v>21</v>
      </c>
      <c r="G637" t="s">
        <v>11</v>
      </c>
      <c r="H637">
        <v>32.619999999999997</v>
      </c>
      <c r="I637" t="str">
        <f t="shared" si="18"/>
        <v>Feb/2024</v>
      </c>
      <c r="J637">
        <f t="shared" si="19"/>
        <v>321717.35999999993</v>
      </c>
    </row>
    <row r="638" spans="1:10" hidden="1">
      <c r="A638">
        <v>637</v>
      </c>
      <c r="B638">
        <v>21</v>
      </c>
      <c r="C638" t="s">
        <v>12</v>
      </c>
      <c r="D638" s="1">
        <v>45441</v>
      </c>
      <c r="E638" t="s">
        <v>9</v>
      </c>
      <c r="F638" t="s">
        <v>18</v>
      </c>
      <c r="G638" t="s">
        <v>16</v>
      </c>
      <c r="H638">
        <v>121.29</v>
      </c>
      <c r="I638" t="str">
        <f t="shared" si="18"/>
        <v>May/2024</v>
      </c>
      <c r="J638">
        <f t="shared" si="19"/>
        <v>321838.64999999991</v>
      </c>
    </row>
    <row r="639" spans="1:10" hidden="1">
      <c r="A639">
        <v>638</v>
      </c>
      <c r="B639">
        <v>89</v>
      </c>
      <c r="C639" t="s">
        <v>19</v>
      </c>
      <c r="D639" s="1">
        <v>45389</v>
      </c>
      <c r="E639" t="s">
        <v>9</v>
      </c>
      <c r="F639" t="s">
        <v>21</v>
      </c>
      <c r="G639" t="s">
        <v>16</v>
      </c>
      <c r="H639">
        <v>967.29</v>
      </c>
      <c r="I639" t="str">
        <f t="shared" si="18"/>
        <v>Apr/2024</v>
      </c>
      <c r="J639">
        <f t="shared" si="19"/>
        <v>322805.93999999989</v>
      </c>
    </row>
    <row r="640" spans="1:10" hidden="1">
      <c r="A640">
        <v>639</v>
      </c>
      <c r="B640">
        <v>43</v>
      </c>
      <c r="C640" t="s">
        <v>19</v>
      </c>
      <c r="D640" s="1">
        <v>45308</v>
      </c>
      <c r="E640" t="s">
        <v>26</v>
      </c>
      <c r="F640" t="s">
        <v>21</v>
      </c>
      <c r="G640" t="s">
        <v>11</v>
      </c>
      <c r="H640">
        <v>200.29</v>
      </c>
      <c r="I640" t="str">
        <f t="shared" si="18"/>
        <v>Jan/2024</v>
      </c>
      <c r="J640">
        <f t="shared" si="19"/>
        <v>323006.22999999986</v>
      </c>
    </row>
    <row r="641" spans="1:10" hidden="1">
      <c r="A641">
        <v>640</v>
      </c>
      <c r="B641">
        <v>5</v>
      </c>
      <c r="C641" t="s">
        <v>19</v>
      </c>
      <c r="D641" s="1">
        <v>45464</v>
      </c>
      <c r="E641" t="s">
        <v>15</v>
      </c>
      <c r="F641" t="s">
        <v>10</v>
      </c>
      <c r="G641" t="s">
        <v>16</v>
      </c>
      <c r="H641">
        <v>185</v>
      </c>
      <c r="I641" t="str">
        <f t="shared" si="18"/>
        <v>Jun/2024</v>
      </c>
      <c r="J641">
        <f t="shared" si="19"/>
        <v>323191.22999999986</v>
      </c>
    </row>
    <row r="642" spans="1:10" hidden="1">
      <c r="A642">
        <v>641</v>
      </c>
      <c r="B642">
        <v>7</v>
      </c>
      <c r="C642" t="s">
        <v>12</v>
      </c>
      <c r="D642" s="1">
        <v>45321</v>
      </c>
      <c r="E642" t="s">
        <v>15</v>
      </c>
      <c r="F642" t="s">
        <v>21</v>
      </c>
      <c r="G642" t="s">
        <v>20</v>
      </c>
      <c r="H642">
        <v>959.61</v>
      </c>
      <c r="I642" t="str">
        <f t="shared" si="18"/>
        <v>Jan/2024</v>
      </c>
      <c r="J642">
        <f t="shared" si="19"/>
        <v>324150.83999999985</v>
      </c>
    </row>
    <row r="643" spans="1:10" hidden="1">
      <c r="A643">
        <v>642</v>
      </c>
      <c r="B643">
        <v>28</v>
      </c>
      <c r="C643" t="s">
        <v>8</v>
      </c>
      <c r="D643" s="1">
        <v>45317</v>
      </c>
      <c r="E643" t="s">
        <v>9</v>
      </c>
      <c r="F643" t="s">
        <v>18</v>
      </c>
      <c r="G643" t="s">
        <v>11</v>
      </c>
      <c r="H643">
        <v>170.66</v>
      </c>
      <c r="I643" t="str">
        <f t="shared" ref="I643:I706" si="20">TEXT(D643,"mmm/yyyy")</f>
        <v>Jan/2024</v>
      </c>
      <c r="J643">
        <f t="shared" si="19"/>
        <v>324321.49999999983</v>
      </c>
    </row>
    <row r="644" spans="1:10" hidden="1">
      <c r="A644">
        <v>643</v>
      </c>
      <c r="B644">
        <v>27</v>
      </c>
      <c r="C644" t="s">
        <v>19</v>
      </c>
      <c r="D644" s="1">
        <v>45460</v>
      </c>
      <c r="E644" t="s">
        <v>9</v>
      </c>
      <c r="F644" t="s">
        <v>10</v>
      </c>
      <c r="G644" t="s">
        <v>11</v>
      </c>
      <c r="H644">
        <v>563.94000000000005</v>
      </c>
      <c r="I644" t="str">
        <f t="shared" si="20"/>
        <v>Jun/2024</v>
      </c>
      <c r="J644">
        <f t="shared" ref="J644:J707" si="21">J643+H644</f>
        <v>324885.43999999983</v>
      </c>
    </row>
    <row r="645" spans="1:10" hidden="1">
      <c r="A645">
        <v>644</v>
      </c>
      <c r="B645">
        <v>58</v>
      </c>
      <c r="C645" t="s">
        <v>19</v>
      </c>
      <c r="D645" s="1">
        <v>45451</v>
      </c>
      <c r="E645" t="s">
        <v>15</v>
      </c>
      <c r="F645" t="s">
        <v>10</v>
      </c>
      <c r="G645" t="s">
        <v>16</v>
      </c>
      <c r="H645">
        <v>52.03</v>
      </c>
      <c r="I645" t="str">
        <f t="shared" si="20"/>
        <v>Jun/2024</v>
      </c>
      <c r="J645">
        <f t="shared" si="21"/>
        <v>324937.46999999986</v>
      </c>
    </row>
    <row r="646" spans="1:10" hidden="1">
      <c r="A646">
        <v>645</v>
      </c>
      <c r="B646">
        <v>33</v>
      </c>
      <c r="C646" t="s">
        <v>12</v>
      </c>
      <c r="D646" s="1">
        <v>45450</v>
      </c>
      <c r="E646" t="s">
        <v>9</v>
      </c>
      <c r="F646" t="s">
        <v>18</v>
      </c>
      <c r="G646" t="s">
        <v>16</v>
      </c>
      <c r="H646">
        <v>474.62</v>
      </c>
      <c r="I646" t="str">
        <f t="shared" si="20"/>
        <v>Jun/2024</v>
      </c>
      <c r="J646">
        <f t="shared" si="21"/>
        <v>325412.08999999985</v>
      </c>
    </row>
    <row r="647" spans="1:10" hidden="1">
      <c r="A647">
        <v>646</v>
      </c>
      <c r="B647">
        <v>20</v>
      </c>
      <c r="C647" t="s">
        <v>8</v>
      </c>
      <c r="D647" s="1">
        <v>45305</v>
      </c>
      <c r="E647" t="s">
        <v>26</v>
      </c>
      <c r="F647" t="s">
        <v>21</v>
      </c>
      <c r="G647" t="s">
        <v>11</v>
      </c>
      <c r="H647">
        <v>263.76</v>
      </c>
      <c r="I647" t="str">
        <f t="shared" si="20"/>
        <v>Jan/2024</v>
      </c>
      <c r="J647">
        <f t="shared" si="21"/>
        <v>325675.84999999986</v>
      </c>
    </row>
    <row r="648" spans="1:10" hidden="1">
      <c r="A648">
        <v>647</v>
      </c>
      <c r="B648">
        <v>11</v>
      </c>
      <c r="C648" t="s">
        <v>19</v>
      </c>
      <c r="D648" s="1">
        <v>45415</v>
      </c>
      <c r="E648" t="s">
        <v>9</v>
      </c>
      <c r="F648" t="s">
        <v>21</v>
      </c>
      <c r="G648" t="s">
        <v>16</v>
      </c>
      <c r="H648">
        <v>758.91</v>
      </c>
      <c r="I648" t="str">
        <f t="shared" si="20"/>
        <v>May/2024</v>
      </c>
      <c r="J648">
        <f t="shared" si="21"/>
        <v>326434.75999999983</v>
      </c>
    </row>
    <row r="649" spans="1:10" hidden="1">
      <c r="A649">
        <v>648</v>
      </c>
      <c r="B649">
        <v>31</v>
      </c>
      <c r="C649" t="s">
        <v>19</v>
      </c>
      <c r="D649" s="1">
        <v>45300</v>
      </c>
      <c r="E649" t="s">
        <v>9</v>
      </c>
      <c r="F649" t="s">
        <v>18</v>
      </c>
      <c r="G649" t="s">
        <v>11</v>
      </c>
      <c r="H649">
        <v>59.04</v>
      </c>
      <c r="I649" t="str">
        <f t="shared" si="20"/>
        <v>Jan/2024</v>
      </c>
      <c r="J649">
        <f t="shared" si="21"/>
        <v>326493.79999999981</v>
      </c>
    </row>
    <row r="650" spans="1:10" hidden="1">
      <c r="A650">
        <v>649</v>
      </c>
      <c r="B650">
        <v>76</v>
      </c>
      <c r="C650" t="s">
        <v>19</v>
      </c>
      <c r="D650" s="1">
        <v>45302</v>
      </c>
      <c r="E650" t="s">
        <v>15</v>
      </c>
      <c r="F650" t="s">
        <v>21</v>
      </c>
      <c r="G650" t="s">
        <v>11</v>
      </c>
      <c r="H650">
        <v>647.01</v>
      </c>
      <c r="I650" t="str">
        <f t="shared" si="20"/>
        <v>Jan/2024</v>
      </c>
      <c r="J650">
        <f t="shared" si="21"/>
        <v>327140.80999999982</v>
      </c>
    </row>
    <row r="651" spans="1:10" hidden="1">
      <c r="A651">
        <v>650</v>
      </c>
      <c r="B651">
        <v>32</v>
      </c>
      <c r="C651" t="s">
        <v>19</v>
      </c>
      <c r="D651" s="1">
        <v>45433</v>
      </c>
      <c r="E651" t="s">
        <v>15</v>
      </c>
      <c r="F651" t="s">
        <v>21</v>
      </c>
      <c r="G651" t="s">
        <v>20</v>
      </c>
      <c r="H651">
        <v>451.58</v>
      </c>
      <c r="I651" t="str">
        <f t="shared" si="20"/>
        <v>May/2024</v>
      </c>
      <c r="J651">
        <f t="shared" si="21"/>
        <v>327592.38999999984</v>
      </c>
    </row>
    <row r="652" spans="1:10" hidden="1">
      <c r="A652">
        <v>651</v>
      </c>
      <c r="B652">
        <v>34</v>
      </c>
      <c r="C652" t="s">
        <v>8</v>
      </c>
      <c r="D652" s="1">
        <v>45331</v>
      </c>
      <c r="E652" t="s">
        <v>15</v>
      </c>
      <c r="F652" t="s">
        <v>10</v>
      </c>
      <c r="G652" t="s">
        <v>20</v>
      </c>
      <c r="H652">
        <v>221.25</v>
      </c>
      <c r="I652" t="str">
        <f t="shared" si="20"/>
        <v>Feb/2024</v>
      </c>
      <c r="J652">
        <f t="shared" si="21"/>
        <v>327813.63999999984</v>
      </c>
    </row>
    <row r="653" spans="1:10" hidden="1">
      <c r="A653">
        <v>652</v>
      </c>
      <c r="B653">
        <v>66</v>
      </c>
      <c r="C653" t="s">
        <v>19</v>
      </c>
      <c r="D653" s="1">
        <v>45401</v>
      </c>
      <c r="E653" t="s">
        <v>9</v>
      </c>
      <c r="F653" t="s">
        <v>18</v>
      </c>
      <c r="G653" t="s">
        <v>20</v>
      </c>
      <c r="H653">
        <v>194.9</v>
      </c>
      <c r="I653" t="str">
        <f t="shared" si="20"/>
        <v>Apr/2024</v>
      </c>
      <c r="J653">
        <f t="shared" si="21"/>
        <v>328008.53999999986</v>
      </c>
    </row>
    <row r="654" spans="1:10" hidden="1">
      <c r="A654">
        <v>653</v>
      </c>
      <c r="B654">
        <v>62</v>
      </c>
      <c r="C654" t="s">
        <v>12</v>
      </c>
      <c r="D654" s="1">
        <v>45351</v>
      </c>
      <c r="E654" t="s">
        <v>26</v>
      </c>
      <c r="F654" t="s">
        <v>10</v>
      </c>
      <c r="G654" t="s">
        <v>16</v>
      </c>
      <c r="H654">
        <v>433.75</v>
      </c>
      <c r="I654" t="str">
        <f t="shared" si="20"/>
        <v>Feb/2024</v>
      </c>
      <c r="J654">
        <f t="shared" si="21"/>
        <v>328442.28999999986</v>
      </c>
    </row>
    <row r="655" spans="1:10" hidden="1">
      <c r="A655">
        <v>654</v>
      </c>
      <c r="B655">
        <v>86</v>
      </c>
      <c r="C655" t="s">
        <v>19</v>
      </c>
      <c r="D655" s="1">
        <v>45462</v>
      </c>
      <c r="E655" t="s">
        <v>26</v>
      </c>
      <c r="F655" t="s">
        <v>18</v>
      </c>
      <c r="G655" t="s">
        <v>16</v>
      </c>
      <c r="H655">
        <v>264.85000000000002</v>
      </c>
      <c r="I655" t="str">
        <f t="shared" si="20"/>
        <v>Jun/2024</v>
      </c>
      <c r="J655">
        <f t="shared" si="21"/>
        <v>328707.13999999984</v>
      </c>
    </row>
    <row r="656" spans="1:10" hidden="1">
      <c r="A656">
        <v>655</v>
      </c>
      <c r="B656">
        <v>91</v>
      </c>
      <c r="C656" t="s">
        <v>19</v>
      </c>
      <c r="D656" s="1">
        <v>45367</v>
      </c>
      <c r="E656" t="s">
        <v>26</v>
      </c>
      <c r="F656" t="s">
        <v>21</v>
      </c>
      <c r="G656" t="s">
        <v>16</v>
      </c>
      <c r="H656">
        <v>230.68</v>
      </c>
      <c r="I656" t="str">
        <f t="shared" si="20"/>
        <v>Mar/2024</v>
      </c>
      <c r="J656">
        <f t="shared" si="21"/>
        <v>328937.81999999983</v>
      </c>
    </row>
    <row r="657" spans="1:10" hidden="1">
      <c r="A657">
        <v>656</v>
      </c>
      <c r="B657">
        <v>63</v>
      </c>
      <c r="C657" t="s">
        <v>19</v>
      </c>
      <c r="D657" s="1">
        <v>45464</v>
      </c>
      <c r="E657" t="s">
        <v>26</v>
      </c>
      <c r="F657" t="s">
        <v>10</v>
      </c>
      <c r="G657" t="s">
        <v>11</v>
      </c>
      <c r="H657">
        <v>836.11</v>
      </c>
      <c r="I657" t="str">
        <f t="shared" si="20"/>
        <v>Jun/2024</v>
      </c>
      <c r="J657">
        <f t="shared" si="21"/>
        <v>329773.92999999982</v>
      </c>
    </row>
    <row r="658" spans="1:10" hidden="1">
      <c r="A658">
        <v>657</v>
      </c>
      <c r="B658">
        <v>73</v>
      </c>
      <c r="C658" t="s">
        <v>8</v>
      </c>
      <c r="D658" s="1">
        <v>45378</v>
      </c>
      <c r="E658" t="s">
        <v>26</v>
      </c>
      <c r="F658" t="s">
        <v>18</v>
      </c>
      <c r="G658" t="s">
        <v>20</v>
      </c>
      <c r="H658">
        <v>703.94</v>
      </c>
      <c r="I658" t="str">
        <f t="shared" si="20"/>
        <v>Mar/2024</v>
      </c>
      <c r="J658">
        <f t="shared" si="21"/>
        <v>330477.86999999982</v>
      </c>
    </row>
    <row r="659" spans="1:10" hidden="1">
      <c r="A659">
        <v>658</v>
      </c>
      <c r="B659">
        <v>94</v>
      </c>
      <c r="C659" t="s">
        <v>8</v>
      </c>
      <c r="D659" s="1">
        <v>45452</v>
      </c>
      <c r="E659" t="s">
        <v>26</v>
      </c>
      <c r="F659" t="s">
        <v>21</v>
      </c>
      <c r="G659" t="s">
        <v>11</v>
      </c>
      <c r="H659">
        <v>814.84</v>
      </c>
      <c r="I659" t="str">
        <f t="shared" si="20"/>
        <v>Jun/2024</v>
      </c>
      <c r="J659">
        <f t="shared" si="21"/>
        <v>331292.70999999985</v>
      </c>
    </row>
    <row r="660" spans="1:10" hidden="1">
      <c r="A660">
        <v>659</v>
      </c>
      <c r="B660">
        <v>88</v>
      </c>
      <c r="C660" t="s">
        <v>8</v>
      </c>
      <c r="D660" s="1">
        <v>45310</v>
      </c>
      <c r="E660" t="s">
        <v>9</v>
      </c>
      <c r="F660" t="s">
        <v>10</v>
      </c>
      <c r="G660" t="s">
        <v>11</v>
      </c>
      <c r="H660">
        <v>153.25</v>
      </c>
      <c r="I660" t="str">
        <f t="shared" si="20"/>
        <v>Jan/2024</v>
      </c>
      <c r="J660">
        <f t="shared" si="21"/>
        <v>331445.95999999985</v>
      </c>
    </row>
    <row r="661" spans="1:10" hidden="1">
      <c r="A661">
        <v>660</v>
      </c>
      <c r="B661">
        <v>12</v>
      </c>
      <c r="C661" t="s">
        <v>12</v>
      </c>
      <c r="D661" s="1">
        <v>45379</v>
      </c>
      <c r="E661" t="s">
        <v>15</v>
      </c>
      <c r="F661" t="s">
        <v>10</v>
      </c>
      <c r="G661" t="s">
        <v>11</v>
      </c>
      <c r="H661">
        <v>324.08999999999997</v>
      </c>
      <c r="I661" t="str">
        <f t="shared" si="20"/>
        <v>Mar/2024</v>
      </c>
      <c r="J661">
        <f t="shared" si="21"/>
        <v>331770.04999999987</v>
      </c>
    </row>
    <row r="662" spans="1:10" hidden="1">
      <c r="A662">
        <v>661</v>
      </c>
      <c r="B662">
        <v>48</v>
      </c>
      <c r="C662" t="s">
        <v>8</v>
      </c>
      <c r="D662" s="1">
        <v>45328</v>
      </c>
      <c r="E662" t="s">
        <v>9</v>
      </c>
      <c r="F662" t="s">
        <v>21</v>
      </c>
      <c r="G662" t="s">
        <v>11</v>
      </c>
      <c r="H662">
        <v>436.9</v>
      </c>
      <c r="I662" t="str">
        <f t="shared" si="20"/>
        <v>Feb/2024</v>
      </c>
      <c r="J662">
        <f t="shared" si="21"/>
        <v>332206.9499999999</v>
      </c>
    </row>
    <row r="663" spans="1:10" hidden="1">
      <c r="A663">
        <v>662</v>
      </c>
      <c r="B663">
        <v>35</v>
      </c>
      <c r="C663" t="s">
        <v>19</v>
      </c>
      <c r="D663" s="1">
        <v>45460</v>
      </c>
      <c r="E663" t="s">
        <v>26</v>
      </c>
      <c r="F663" t="s">
        <v>10</v>
      </c>
      <c r="G663" t="s">
        <v>20</v>
      </c>
      <c r="H663">
        <v>917.26</v>
      </c>
      <c r="I663" t="str">
        <f t="shared" si="20"/>
        <v>Jun/2024</v>
      </c>
      <c r="J663">
        <f t="shared" si="21"/>
        <v>333124.2099999999</v>
      </c>
    </row>
    <row r="664" spans="1:10" hidden="1">
      <c r="A664">
        <v>663</v>
      </c>
      <c r="B664">
        <v>25</v>
      </c>
      <c r="C664" t="s">
        <v>19</v>
      </c>
      <c r="D664" s="1">
        <v>45304</v>
      </c>
      <c r="E664" t="s">
        <v>9</v>
      </c>
      <c r="F664" t="s">
        <v>18</v>
      </c>
      <c r="G664" t="s">
        <v>16</v>
      </c>
      <c r="H664">
        <v>45.26</v>
      </c>
      <c r="I664" t="str">
        <f t="shared" si="20"/>
        <v>Jan/2024</v>
      </c>
      <c r="J664">
        <f t="shared" si="21"/>
        <v>333169.46999999991</v>
      </c>
    </row>
    <row r="665" spans="1:10" hidden="1">
      <c r="A665">
        <v>664</v>
      </c>
      <c r="B665">
        <v>47</v>
      </c>
      <c r="C665" t="s">
        <v>12</v>
      </c>
      <c r="D665" s="1">
        <v>45317</v>
      </c>
      <c r="E665" t="s">
        <v>26</v>
      </c>
      <c r="F665" t="s">
        <v>18</v>
      </c>
      <c r="G665" t="s">
        <v>11</v>
      </c>
      <c r="H665">
        <v>416.2</v>
      </c>
      <c r="I665" t="str">
        <f t="shared" si="20"/>
        <v>Jan/2024</v>
      </c>
      <c r="J665">
        <f t="shared" si="21"/>
        <v>333585.66999999993</v>
      </c>
    </row>
    <row r="666" spans="1:10" hidden="1">
      <c r="A666">
        <v>665</v>
      </c>
      <c r="B666">
        <v>55</v>
      </c>
      <c r="C666" t="s">
        <v>12</v>
      </c>
      <c r="D666" s="1">
        <v>45428</v>
      </c>
      <c r="E666" t="s">
        <v>9</v>
      </c>
      <c r="F666" t="s">
        <v>10</v>
      </c>
      <c r="G666" t="s">
        <v>20</v>
      </c>
      <c r="H666">
        <v>246.83</v>
      </c>
      <c r="I666" t="str">
        <f t="shared" si="20"/>
        <v>May/2024</v>
      </c>
      <c r="J666">
        <f t="shared" si="21"/>
        <v>333832.49999999994</v>
      </c>
    </row>
    <row r="667" spans="1:10" hidden="1">
      <c r="A667">
        <v>666</v>
      </c>
      <c r="B667">
        <v>45</v>
      </c>
      <c r="C667" t="s">
        <v>8</v>
      </c>
      <c r="D667" s="1">
        <v>45294</v>
      </c>
      <c r="E667" t="s">
        <v>9</v>
      </c>
      <c r="F667" t="s">
        <v>18</v>
      </c>
      <c r="G667" t="s">
        <v>11</v>
      </c>
      <c r="H667">
        <v>824.28</v>
      </c>
      <c r="I667" t="str">
        <f t="shared" si="20"/>
        <v>Jan/2024</v>
      </c>
      <c r="J667">
        <f t="shared" si="21"/>
        <v>334656.77999999997</v>
      </c>
    </row>
    <row r="668" spans="1:10" hidden="1">
      <c r="A668">
        <v>667</v>
      </c>
      <c r="B668">
        <v>12</v>
      </c>
      <c r="C668" t="s">
        <v>19</v>
      </c>
      <c r="D668" s="1">
        <v>45445</v>
      </c>
      <c r="E668" t="s">
        <v>26</v>
      </c>
      <c r="F668" t="s">
        <v>10</v>
      </c>
      <c r="G668" t="s">
        <v>11</v>
      </c>
      <c r="H668">
        <v>680.74</v>
      </c>
      <c r="I668" t="str">
        <f t="shared" si="20"/>
        <v>Jun/2024</v>
      </c>
      <c r="J668">
        <f t="shared" si="21"/>
        <v>335337.51999999996</v>
      </c>
    </row>
    <row r="669" spans="1:10" hidden="1">
      <c r="A669">
        <v>668</v>
      </c>
      <c r="B669">
        <v>33</v>
      </c>
      <c r="C669" t="s">
        <v>8</v>
      </c>
      <c r="D669" s="1">
        <v>45348</v>
      </c>
      <c r="E669" t="s">
        <v>26</v>
      </c>
      <c r="F669" t="s">
        <v>18</v>
      </c>
      <c r="G669" t="s">
        <v>16</v>
      </c>
      <c r="H669">
        <v>376.62</v>
      </c>
      <c r="I669" t="str">
        <f t="shared" si="20"/>
        <v>Feb/2024</v>
      </c>
      <c r="J669">
        <f t="shared" si="21"/>
        <v>335714.13999999996</v>
      </c>
    </row>
    <row r="670" spans="1:10" hidden="1">
      <c r="A670">
        <v>669</v>
      </c>
      <c r="B670">
        <v>3</v>
      </c>
      <c r="C670" t="s">
        <v>12</v>
      </c>
      <c r="D670" s="1">
        <v>45301</v>
      </c>
      <c r="E670" t="s">
        <v>26</v>
      </c>
      <c r="F670" t="s">
        <v>21</v>
      </c>
      <c r="G670" t="s">
        <v>20</v>
      </c>
      <c r="H670">
        <v>400.79</v>
      </c>
      <c r="I670" t="str">
        <f t="shared" si="20"/>
        <v>Jan/2024</v>
      </c>
      <c r="J670">
        <f t="shared" si="21"/>
        <v>336114.92999999993</v>
      </c>
    </row>
    <row r="671" spans="1:10" hidden="1">
      <c r="A671">
        <v>670</v>
      </c>
      <c r="B671">
        <v>15</v>
      </c>
      <c r="C671" t="s">
        <v>8</v>
      </c>
      <c r="D671" s="1">
        <v>45341</v>
      </c>
      <c r="E671" t="s">
        <v>9</v>
      </c>
      <c r="F671" t="s">
        <v>18</v>
      </c>
      <c r="G671" t="s">
        <v>11</v>
      </c>
      <c r="H671">
        <v>496.72</v>
      </c>
      <c r="I671" t="str">
        <f t="shared" si="20"/>
        <v>Feb/2024</v>
      </c>
      <c r="J671">
        <f t="shared" si="21"/>
        <v>336611.64999999991</v>
      </c>
    </row>
    <row r="672" spans="1:10" hidden="1">
      <c r="A672">
        <v>671</v>
      </c>
      <c r="B672">
        <v>45</v>
      </c>
      <c r="C672" t="s">
        <v>8</v>
      </c>
      <c r="D672" s="1">
        <v>45403</v>
      </c>
      <c r="E672" t="s">
        <v>9</v>
      </c>
      <c r="F672" t="s">
        <v>21</v>
      </c>
      <c r="G672" t="s">
        <v>20</v>
      </c>
      <c r="H672">
        <v>369.13</v>
      </c>
      <c r="I672" t="str">
        <f t="shared" si="20"/>
        <v>Apr/2024</v>
      </c>
      <c r="J672">
        <f t="shared" si="21"/>
        <v>336980.77999999991</v>
      </c>
    </row>
    <row r="673" spans="1:10" hidden="1">
      <c r="A673">
        <v>672</v>
      </c>
      <c r="B673">
        <v>16</v>
      </c>
      <c r="C673" t="s">
        <v>12</v>
      </c>
      <c r="D673" s="1">
        <v>45431</v>
      </c>
      <c r="E673" t="s">
        <v>15</v>
      </c>
      <c r="F673" t="s">
        <v>21</v>
      </c>
      <c r="G673" t="s">
        <v>16</v>
      </c>
      <c r="H673">
        <v>916.45</v>
      </c>
      <c r="I673" t="str">
        <f t="shared" si="20"/>
        <v>May/2024</v>
      </c>
      <c r="J673">
        <f t="shared" si="21"/>
        <v>337897.22999999992</v>
      </c>
    </row>
    <row r="674" spans="1:10" hidden="1">
      <c r="A674">
        <v>673</v>
      </c>
      <c r="B674">
        <v>63</v>
      </c>
      <c r="C674" t="s">
        <v>12</v>
      </c>
      <c r="D674" s="1">
        <v>45413</v>
      </c>
      <c r="E674" t="s">
        <v>15</v>
      </c>
      <c r="F674" t="s">
        <v>10</v>
      </c>
      <c r="G674" t="s">
        <v>11</v>
      </c>
      <c r="H674">
        <v>152.08000000000001</v>
      </c>
      <c r="I674" t="str">
        <f t="shared" si="20"/>
        <v>May/2024</v>
      </c>
      <c r="J674">
        <f t="shared" si="21"/>
        <v>338049.30999999994</v>
      </c>
    </row>
    <row r="675" spans="1:10" hidden="1">
      <c r="A675">
        <v>674</v>
      </c>
      <c r="B675">
        <v>63</v>
      </c>
      <c r="C675" t="s">
        <v>8</v>
      </c>
      <c r="D675" s="1">
        <v>45297</v>
      </c>
      <c r="E675" t="s">
        <v>26</v>
      </c>
      <c r="F675" t="s">
        <v>21</v>
      </c>
      <c r="G675" t="s">
        <v>11</v>
      </c>
      <c r="H675">
        <v>373.52</v>
      </c>
      <c r="I675" t="str">
        <f t="shared" si="20"/>
        <v>Jan/2024</v>
      </c>
      <c r="J675">
        <f t="shared" si="21"/>
        <v>338422.82999999996</v>
      </c>
    </row>
    <row r="676" spans="1:10" hidden="1">
      <c r="A676">
        <v>675</v>
      </c>
      <c r="B676">
        <v>96</v>
      </c>
      <c r="C676" t="s">
        <v>19</v>
      </c>
      <c r="D676" s="1">
        <v>45424</v>
      </c>
      <c r="E676" t="s">
        <v>26</v>
      </c>
      <c r="F676" t="s">
        <v>18</v>
      </c>
      <c r="G676" t="s">
        <v>11</v>
      </c>
      <c r="H676">
        <v>345.64</v>
      </c>
      <c r="I676" t="str">
        <f t="shared" si="20"/>
        <v>May/2024</v>
      </c>
      <c r="J676">
        <f t="shared" si="21"/>
        <v>338768.47</v>
      </c>
    </row>
    <row r="677" spans="1:10" hidden="1">
      <c r="A677">
        <v>676</v>
      </c>
      <c r="B677">
        <v>4</v>
      </c>
      <c r="C677" t="s">
        <v>19</v>
      </c>
      <c r="D677" s="1">
        <v>45388</v>
      </c>
      <c r="E677" t="s">
        <v>15</v>
      </c>
      <c r="F677" t="s">
        <v>18</v>
      </c>
      <c r="G677" t="s">
        <v>11</v>
      </c>
      <c r="H677">
        <v>33.950000000000003</v>
      </c>
      <c r="I677" t="str">
        <f t="shared" si="20"/>
        <v>Apr/2024</v>
      </c>
      <c r="J677">
        <f t="shared" si="21"/>
        <v>338802.42</v>
      </c>
    </row>
    <row r="678" spans="1:10" hidden="1">
      <c r="A678">
        <v>677</v>
      </c>
      <c r="B678">
        <v>2</v>
      </c>
      <c r="C678" t="s">
        <v>8</v>
      </c>
      <c r="D678" s="1">
        <v>45295</v>
      </c>
      <c r="E678" t="s">
        <v>9</v>
      </c>
      <c r="F678" t="s">
        <v>18</v>
      </c>
      <c r="G678" t="s">
        <v>11</v>
      </c>
      <c r="H678">
        <v>478.44</v>
      </c>
      <c r="I678" t="str">
        <f t="shared" si="20"/>
        <v>Jan/2024</v>
      </c>
      <c r="J678">
        <f t="shared" si="21"/>
        <v>339280.86</v>
      </c>
    </row>
    <row r="679" spans="1:10" hidden="1">
      <c r="A679">
        <v>678</v>
      </c>
      <c r="B679">
        <v>19</v>
      </c>
      <c r="C679" t="s">
        <v>12</v>
      </c>
      <c r="D679" s="1">
        <v>45371</v>
      </c>
      <c r="E679" t="s">
        <v>9</v>
      </c>
      <c r="F679" t="s">
        <v>18</v>
      </c>
      <c r="G679" t="s">
        <v>20</v>
      </c>
      <c r="H679">
        <v>884.03</v>
      </c>
      <c r="I679" t="str">
        <f t="shared" si="20"/>
        <v>Mar/2024</v>
      </c>
      <c r="J679">
        <f t="shared" si="21"/>
        <v>340164.89</v>
      </c>
    </row>
    <row r="680" spans="1:10" hidden="1">
      <c r="A680">
        <v>679</v>
      </c>
      <c r="B680">
        <v>61</v>
      </c>
      <c r="C680" t="s">
        <v>8</v>
      </c>
      <c r="D680" s="1">
        <v>45314</v>
      </c>
      <c r="E680" t="s">
        <v>15</v>
      </c>
      <c r="F680" t="s">
        <v>18</v>
      </c>
      <c r="G680" t="s">
        <v>11</v>
      </c>
      <c r="H680">
        <v>113.64</v>
      </c>
      <c r="I680" t="str">
        <f t="shared" si="20"/>
        <v>Jan/2024</v>
      </c>
      <c r="J680">
        <f t="shared" si="21"/>
        <v>340278.53</v>
      </c>
    </row>
    <row r="681" spans="1:10" hidden="1">
      <c r="A681">
        <v>680</v>
      </c>
      <c r="B681">
        <v>5</v>
      </c>
      <c r="C681" t="s">
        <v>8</v>
      </c>
      <c r="D681" s="1">
        <v>45310</v>
      </c>
      <c r="E681" t="s">
        <v>9</v>
      </c>
      <c r="F681" t="s">
        <v>21</v>
      </c>
      <c r="G681" t="s">
        <v>11</v>
      </c>
      <c r="H681">
        <v>479.38</v>
      </c>
      <c r="I681" t="str">
        <f t="shared" si="20"/>
        <v>Jan/2024</v>
      </c>
      <c r="J681">
        <f t="shared" si="21"/>
        <v>340757.91000000003</v>
      </c>
    </row>
    <row r="682" spans="1:10" hidden="1">
      <c r="A682">
        <v>681</v>
      </c>
      <c r="B682">
        <v>8</v>
      </c>
      <c r="C682" t="s">
        <v>8</v>
      </c>
      <c r="D682" s="1">
        <v>45307</v>
      </c>
      <c r="E682" t="s">
        <v>15</v>
      </c>
      <c r="F682" t="s">
        <v>18</v>
      </c>
      <c r="G682" t="s">
        <v>11</v>
      </c>
      <c r="H682">
        <v>395.56</v>
      </c>
      <c r="I682" t="str">
        <f t="shared" si="20"/>
        <v>Jan/2024</v>
      </c>
      <c r="J682">
        <f t="shared" si="21"/>
        <v>341153.47000000003</v>
      </c>
    </row>
    <row r="683" spans="1:10" hidden="1">
      <c r="A683">
        <v>682</v>
      </c>
      <c r="B683">
        <v>6</v>
      </c>
      <c r="C683" t="s">
        <v>8</v>
      </c>
      <c r="D683" s="1">
        <v>45304</v>
      </c>
      <c r="E683" t="s">
        <v>9</v>
      </c>
      <c r="F683" t="s">
        <v>21</v>
      </c>
      <c r="G683" t="s">
        <v>20</v>
      </c>
      <c r="H683">
        <v>290.66000000000003</v>
      </c>
      <c r="I683" t="str">
        <f t="shared" si="20"/>
        <v>Jan/2024</v>
      </c>
      <c r="J683">
        <f t="shared" si="21"/>
        <v>341444.13</v>
      </c>
    </row>
    <row r="684" spans="1:10" hidden="1">
      <c r="A684">
        <v>683</v>
      </c>
      <c r="B684">
        <v>18</v>
      </c>
      <c r="C684" t="s">
        <v>19</v>
      </c>
      <c r="D684" s="1">
        <v>45347</v>
      </c>
      <c r="E684" t="s">
        <v>9</v>
      </c>
      <c r="F684" t="s">
        <v>10</v>
      </c>
      <c r="G684" t="s">
        <v>11</v>
      </c>
      <c r="H684">
        <v>309.32</v>
      </c>
      <c r="I684" t="str">
        <f t="shared" si="20"/>
        <v>Feb/2024</v>
      </c>
      <c r="J684">
        <f t="shared" si="21"/>
        <v>341753.45</v>
      </c>
    </row>
    <row r="685" spans="1:10" hidden="1">
      <c r="A685">
        <v>684</v>
      </c>
      <c r="B685">
        <v>33</v>
      </c>
      <c r="C685" t="s">
        <v>8</v>
      </c>
      <c r="D685" s="1">
        <v>45367</v>
      </c>
      <c r="E685" t="s">
        <v>9</v>
      </c>
      <c r="F685" t="s">
        <v>21</v>
      </c>
      <c r="G685" t="s">
        <v>20</v>
      </c>
      <c r="H685">
        <v>28.05</v>
      </c>
      <c r="I685" t="str">
        <f t="shared" si="20"/>
        <v>Mar/2024</v>
      </c>
      <c r="J685">
        <f t="shared" si="21"/>
        <v>341781.5</v>
      </c>
    </row>
    <row r="686" spans="1:10" hidden="1">
      <c r="A686">
        <v>685</v>
      </c>
      <c r="B686">
        <v>40</v>
      </c>
      <c r="C686" t="s">
        <v>8</v>
      </c>
      <c r="D686" s="1">
        <v>45467</v>
      </c>
      <c r="E686" t="s">
        <v>26</v>
      </c>
      <c r="F686" t="s">
        <v>18</v>
      </c>
      <c r="G686" t="s">
        <v>11</v>
      </c>
      <c r="H686">
        <v>37.69</v>
      </c>
      <c r="I686" t="str">
        <f t="shared" si="20"/>
        <v>Jun/2024</v>
      </c>
      <c r="J686">
        <f t="shared" si="21"/>
        <v>341819.19</v>
      </c>
    </row>
    <row r="687" spans="1:10" hidden="1">
      <c r="A687">
        <v>686</v>
      </c>
      <c r="B687">
        <v>35</v>
      </c>
      <c r="C687" t="s">
        <v>19</v>
      </c>
      <c r="D687" s="1">
        <v>45314</v>
      </c>
      <c r="E687" t="s">
        <v>15</v>
      </c>
      <c r="F687" t="s">
        <v>18</v>
      </c>
      <c r="G687" t="s">
        <v>16</v>
      </c>
      <c r="H687">
        <v>293.44</v>
      </c>
      <c r="I687" t="str">
        <f t="shared" si="20"/>
        <v>Jan/2024</v>
      </c>
      <c r="J687">
        <f t="shared" si="21"/>
        <v>342112.63</v>
      </c>
    </row>
    <row r="688" spans="1:10" hidden="1">
      <c r="A688">
        <v>687</v>
      </c>
      <c r="B688">
        <v>99</v>
      </c>
      <c r="C688" t="s">
        <v>12</v>
      </c>
      <c r="D688" s="1">
        <v>45367</v>
      </c>
      <c r="E688" t="s">
        <v>9</v>
      </c>
      <c r="F688" t="s">
        <v>10</v>
      </c>
      <c r="G688" t="s">
        <v>11</v>
      </c>
      <c r="H688">
        <v>249.02</v>
      </c>
      <c r="I688" t="str">
        <f t="shared" si="20"/>
        <v>Mar/2024</v>
      </c>
      <c r="J688">
        <f t="shared" si="21"/>
        <v>342361.65</v>
      </c>
    </row>
    <row r="689" spans="1:10" hidden="1">
      <c r="A689">
        <v>688</v>
      </c>
      <c r="B689">
        <v>65</v>
      </c>
      <c r="C689" t="s">
        <v>8</v>
      </c>
      <c r="D689" s="1">
        <v>45340</v>
      </c>
      <c r="E689" t="s">
        <v>26</v>
      </c>
      <c r="F689" t="s">
        <v>10</v>
      </c>
      <c r="G689" t="s">
        <v>20</v>
      </c>
      <c r="H689">
        <v>327.88</v>
      </c>
      <c r="I689" t="str">
        <f t="shared" si="20"/>
        <v>Feb/2024</v>
      </c>
      <c r="J689">
        <f t="shared" si="21"/>
        <v>342689.53</v>
      </c>
    </row>
    <row r="690" spans="1:10" hidden="1">
      <c r="A690">
        <v>689</v>
      </c>
      <c r="B690">
        <v>56</v>
      </c>
      <c r="C690" t="s">
        <v>19</v>
      </c>
      <c r="D690" s="1">
        <v>45360</v>
      </c>
      <c r="E690" t="s">
        <v>26</v>
      </c>
      <c r="F690" t="s">
        <v>18</v>
      </c>
      <c r="G690" t="s">
        <v>20</v>
      </c>
      <c r="H690">
        <v>749.31</v>
      </c>
      <c r="I690" t="str">
        <f t="shared" si="20"/>
        <v>Mar/2024</v>
      </c>
      <c r="J690">
        <f t="shared" si="21"/>
        <v>343438.84</v>
      </c>
    </row>
    <row r="691" spans="1:10" hidden="1">
      <c r="A691">
        <v>690</v>
      </c>
      <c r="B691">
        <v>96</v>
      </c>
      <c r="C691" t="s">
        <v>19</v>
      </c>
      <c r="D691" s="1">
        <v>45438</v>
      </c>
      <c r="E691" t="s">
        <v>9</v>
      </c>
      <c r="F691" t="s">
        <v>10</v>
      </c>
      <c r="G691" t="s">
        <v>16</v>
      </c>
      <c r="H691">
        <v>19.23</v>
      </c>
      <c r="I691" t="str">
        <f t="shared" si="20"/>
        <v>May/2024</v>
      </c>
      <c r="J691">
        <f t="shared" si="21"/>
        <v>343458.07</v>
      </c>
    </row>
    <row r="692" spans="1:10" hidden="1">
      <c r="A692">
        <v>691</v>
      </c>
      <c r="B692">
        <v>4</v>
      </c>
      <c r="C692" t="s">
        <v>12</v>
      </c>
      <c r="D692" s="1">
        <v>45443</v>
      </c>
      <c r="E692" t="s">
        <v>15</v>
      </c>
      <c r="F692" t="s">
        <v>18</v>
      </c>
      <c r="G692" t="s">
        <v>20</v>
      </c>
      <c r="H692">
        <v>470.43</v>
      </c>
      <c r="I692" t="str">
        <f t="shared" si="20"/>
        <v>May/2024</v>
      </c>
      <c r="J692">
        <f t="shared" si="21"/>
        <v>343928.5</v>
      </c>
    </row>
    <row r="693" spans="1:10" hidden="1">
      <c r="A693">
        <v>692</v>
      </c>
      <c r="B693">
        <v>67</v>
      </c>
      <c r="C693" t="s">
        <v>19</v>
      </c>
      <c r="D693" s="1">
        <v>45340</v>
      </c>
      <c r="E693" t="s">
        <v>9</v>
      </c>
      <c r="F693" t="s">
        <v>18</v>
      </c>
      <c r="G693" t="s">
        <v>16</v>
      </c>
      <c r="H693">
        <v>135.49</v>
      </c>
      <c r="I693" t="str">
        <f t="shared" si="20"/>
        <v>Feb/2024</v>
      </c>
      <c r="J693">
        <f t="shared" si="21"/>
        <v>344063.99</v>
      </c>
    </row>
    <row r="694" spans="1:10" hidden="1">
      <c r="A694">
        <v>693</v>
      </c>
      <c r="B694">
        <v>95</v>
      </c>
      <c r="C694" t="s">
        <v>8</v>
      </c>
      <c r="D694" s="1">
        <v>45469</v>
      </c>
      <c r="E694" t="s">
        <v>9</v>
      </c>
      <c r="F694" t="s">
        <v>10</v>
      </c>
      <c r="G694" t="s">
        <v>20</v>
      </c>
      <c r="H694">
        <v>531.4</v>
      </c>
      <c r="I694" t="str">
        <f t="shared" si="20"/>
        <v>Jun/2024</v>
      </c>
      <c r="J694">
        <f t="shared" si="21"/>
        <v>344595.39</v>
      </c>
    </row>
    <row r="695" spans="1:10" hidden="1">
      <c r="A695">
        <v>694</v>
      </c>
      <c r="B695">
        <v>18</v>
      </c>
      <c r="C695" t="s">
        <v>19</v>
      </c>
      <c r="D695" s="1">
        <v>45338</v>
      </c>
      <c r="E695" t="s">
        <v>26</v>
      </c>
      <c r="F695" t="s">
        <v>18</v>
      </c>
      <c r="G695" t="s">
        <v>20</v>
      </c>
      <c r="H695">
        <v>205.83</v>
      </c>
      <c r="I695" t="str">
        <f t="shared" si="20"/>
        <v>Feb/2024</v>
      </c>
      <c r="J695">
        <f t="shared" si="21"/>
        <v>344801.22000000003</v>
      </c>
    </row>
    <row r="696" spans="1:10" hidden="1">
      <c r="A696">
        <v>695</v>
      </c>
      <c r="B696">
        <v>97</v>
      </c>
      <c r="C696" t="s">
        <v>19</v>
      </c>
      <c r="D696" s="1">
        <v>45402</v>
      </c>
      <c r="E696" t="s">
        <v>9</v>
      </c>
      <c r="F696" t="s">
        <v>21</v>
      </c>
      <c r="G696" t="s">
        <v>11</v>
      </c>
      <c r="H696">
        <v>547.02</v>
      </c>
      <c r="I696" t="str">
        <f t="shared" si="20"/>
        <v>Apr/2024</v>
      </c>
      <c r="J696">
        <f t="shared" si="21"/>
        <v>345348.24000000005</v>
      </c>
    </row>
    <row r="697" spans="1:10" hidden="1">
      <c r="A697">
        <v>696</v>
      </c>
      <c r="B697">
        <v>84</v>
      </c>
      <c r="C697" t="s">
        <v>12</v>
      </c>
      <c r="D697" s="1">
        <v>45297</v>
      </c>
      <c r="E697" t="s">
        <v>9</v>
      </c>
      <c r="F697" t="s">
        <v>21</v>
      </c>
      <c r="G697" t="s">
        <v>11</v>
      </c>
      <c r="H697">
        <v>459.29</v>
      </c>
      <c r="I697" t="str">
        <f t="shared" si="20"/>
        <v>Jan/2024</v>
      </c>
      <c r="J697">
        <f t="shared" si="21"/>
        <v>345807.53</v>
      </c>
    </row>
    <row r="698" spans="1:10" hidden="1">
      <c r="A698">
        <v>697</v>
      </c>
      <c r="B698">
        <v>51</v>
      </c>
      <c r="C698" t="s">
        <v>19</v>
      </c>
      <c r="D698" s="1">
        <v>45384</v>
      </c>
      <c r="E698" t="s">
        <v>26</v>
      </c>
      <c r="F698" t="s">
        <v>18</v>
      </c>
      <c r="G698" t="s">
        <v>20</v>
      </c>
      <c r="H698">
        <v>762.32</v>
      </c>
      <c r="I698" t="str">
        <f t="shared" si="20"/>
        <v>Apr/2024</v>
      </c>
      <c r="J698">
        <f t="shared" si="21"/>
        <v>346569.85000000003</v>
      </c>
    </row>
    <row r="699" spans="1:10" hidden="1">
      <c r="A699">
        <v>698</v>
      </c>
      <c r="B699">
        <v>34</v>
      </c>
      <c r="C699" t="s">
        <v>19</v>
      </c>
      <c r="D699" s="1">
        <v>45380</v>
      </c>
      <c r="E699" t="s">
        <v>9</v>
      </c>
      <c r="F699" t="s">
        <v>21</v>
      </c>
      <c r="G699" t="s">
        <v>11</v>
      </c>
      <c r="H699">
        <v>684.85</v>
      </c>
      <c r="I699" t="str">
        <f t="shared" si="20"/>
        <v>Mar/2024</v>
      </c>
      <c r="J699">
        <f t="shared" si="21"/>
        <v>347254.7</v>
      </c>
    </row>
    <row r="700" spans="1:10" hidden="1">
      <c r="A700">
        <v>699</v>
      </c>
      <c r="B700">
        <v>1</v>
      </c>
      <c r="C700" t="s">
        <v>19</v>
      </c>
      <c r="D700" s="1">
        <v>45386</v>
      </c>
      <c r="E700" t="s">
        <v>9</v>
      </c>
      <c r="F700" t="s">
        <v>18</v>
      </c>
      <c r="G700" t="s">
        <v>16</v>
      </c>
      <c r="H700">
        <v>940.9</v>
      </c>
      <c r="I700" t="str">
        <f t="shared" si="20"/>
        <v>Apr/2024</v>
      </c>
      <c r="J700">
        <f t="shared" si="21"/>
        <v>348195.60000000003</v>
      </c>
    </row>
    <row r="701" spans="1:10" hidden="1">
      <c r="A701">
        <v>700</v>
      </c>
      <c r="B701">
        <v>41</v>
      </c>
      <c r="C701" t="s">
        <v>19</v>
      </c>
      <c r="D701" s="1">
        <v>45335</v>
      </c>
      <c r="E701" t="s">
        <v>26</v>
      </c>
      <c r="F701" t="s">
        <v>10</v>
      </c>
      <c r="G701" t="s">
        <v>20</v>
      </c>
      <c r="H701">
        <v>894.66</v>
      </c>
      <c r="I701" t="str">
        <f t="shared" si="20"/>
        <v>Feb/2024</v>
      </c>
      <c r="J701">
        <f t="shared" si="21"/>
        <v>349090.26</v>
      </c>
    </row>
    <row r="702" spans="1:10" hidden="1">
      <c r="A702">
        <v>701</v>
      </c>
      <c r="B702">
        <v>67</v>
      </c>
      <c r="C702" t="s">
        <v>12</v>
      </c>
      <c r="D702" s="1">
        <v>45381</v>
      </c>
      <c r="E702" t="s">
        <v>9</v>
      </c>
      <c r="F702" t="s">
        <v>10</v>
      </c>
      <c r="G702" t="s">
        <v>20</v>
      </c>
      <c r="H702">
        <v>10.44</v>
      </c>
      <c r="I702" t="str">
        <f t="shared" si="20"/>
        <v>Mar/2024</v>
      </c>
      <c r="J702">
        <f t="shared" si="21"/>
        <v>349100.7</v>
      </c>
    </row>
    <row r="703" spans="1:10" hidden="1">
      <c r="A703">
        <v>702</v>
      </c>
      <c r="B703">
        <v>43</v>
      </c>
      <c r="C703" t="s">
        <v>19</v>
      </c>
      <c r="D703" s="1">
        <v>45402</v>
      </c>
      <c r="E703" t="s">
        <v>9</v>
      </c>
      <c r="F703" t="s">
        <v>10</v>
      </c>
      <c r="G703" t="s">
        <v>11</v>
      </c>
      <c r="H703">
        <v>878.23</v>
      </c>
      <c r="I703" t="str">
        <f t="shared" si="20"/>
        <v>Apr/2024</v>
      </c>
      <c r="J703">
        <f t="shared" si="21"/>
        <v>349978.93</v>
      </c>
    </row>
    <row r="704" spans="1:10" hidden="1">
      <c r="A704">
        <v>703</v>
      </c>
      <c r="B704">
        <v>34</v>
      </c>
      <c r="C704" t="s">
        <v>8</v>
      </c>
      <c r="D704" s="1">
        <v>45322</v>
      </c>
      <c r="E704" t="s">
        <v>15</v>
      </c>
      <c r="F704" t="s">
        <v>10</v>
      </c>
      <c r="G704" t="s">
        <v>16</v>
      </c>
      <c r="H704">
        <v>164.64</v>
      </c>
      <c r="I704" t="str">
        <f t="shared" si="20"/>
        <v>Jan/2024</v>
      </c>
      <c r="J704">
        <f t="shared" si="21"/>
        <v>350143.57</v>
      </c>
    </row>
    <row r="705" spans="1:10" hidden="1">
      <c r="A705">
        <v>704</v>
      </c>
      <c r="B705">
        <v>7</v>
      </c>
      <c r="C705" t="s">
        <v>8</v>
      </c>
      <c r="D705" s="1">
        <v>45324</v>
      </c>
      <c r="E705" t="s">
        <v>15</v>
      </c>
      <c r="F705" t="s">
        <v>18</v>
      </c>
      <c r="G705" t="s">
        <v>11</v>
      </c>
      <c r="H705">
        <v>132.46</v>
      </c>
      <c r="I705" t="str">
        <f t="shared" si="20"/>
        <v>Feb/2024</v>
      </c>
      <c r="J705">
        <f t="shared" si="21"/>
        <v>350276.03</v>
      </c>
    </row>
    <row r="706" spans="1:10" hidden="1">
      <c r="A706">
        <v>705</v>
      </c>
      <c r="B706">
        <v>54</v>
      </c>
      <c r="C706" t="s">
        <v>12</v>
      </c>
      <c r="D706" s="1">
        <v>45325</v>
      </c>
      <c r="E706" t="s">
        <v>15</v>
      </c>
      <c r="F706" t="s">
        <v>21</v>
      </c>
      <c r="G706" t="s">
        <v>16</v>
      </c>
      <c r="H706">
        <v>789.51</v>
      </c>
      <c r="I706" t="str">
        <f t="shared" si="20"/>
        <v>Feb/2024</v>
      </c>
      <c r="J706">
        <f t="shared" si="21"/>
        <v>351065.54000000004</v>
      </c>
    </row>
    <row r="707" spans="1:10" hidden="1">
      <c r="A707">
        <v>706</v>
      </c>
      <c r="B707">
        <v>37</v>
      </c>
      <c r="C707" t="s">
        <v>12</v>
      </c>
      <c r="D707" s="1">
        <v>45436</v>
      </c>
      <c r="E707" t="s">
        <v>9</v>
      </c>
      <c r="F707" t="s">
        <v>21</v>
      </c>
      <c r="G707" t="s">
        <v>11</v>
      </c>
      <c r="H707">
        <v>969.4</v>
      </c>
      <c r="I707" t="str">
        <f t="shared" ref="I707:I770" si="22">TEXT(D707,"mmm/yyyy")</f>
        <v>May/2024</v>
      </c>
      <c r="J707">
        <f t="shared" si="21"/>
        <v>352034.94000000006</v>
      </c>
    </row>
    <row r="708" spans="1:10" hidden="1">
      <c r="A708">
        <v>707</v>
      </c>
      <c r="B708">
        <v>86</v>
      </c>
      <c r="C708" t="s">
        <v>12</v>
      </c>
      <c r="D708" s="1">
        <v>45365</v>
      </c>
      <c r="E708" t="s">
        <v>26</v>
      </c>
      <c r="F708" t="s">
        <v>18</v>
      </c>
      <c r="G708" t="s">
        <v>16</v>
      </c>
      <c r="H708">
        <v>667.18</v>
      </c>
      <c r="I708" t="str">
        <f t="shared" si="22"/>
        <v>Mar/2024</v>
      </c>
      <c r="J708">
        <f t="shared" ref="J708:J771" si="23">J707+H708</f>
        <v>352702.12000000005</v>
      </c>
    </row>
    <row r="709" spans="1:10" hidden="1">
      <c r="A709">
        <v>708</v>
      </c>
      <c r="B709">
        <v>22</v>
      </c>
      <c r="C709" t="s">
        <v>12</v>
      </c>
      <c r="D709" s="1">
        <v>45391</v>
      </c>
      <c r="E709" t="s">
        <v>9</v>
      </c>
      <c r="F709" t="s">
        <v>10</v>
      </c>
      <c r="G709" t="s">
        <v>20</v>
      </c>
      <c r="H709">
        <v>781.35</v>
      </c>
      <c r="I709" t="str">
        <f t="shared" si="22"/>
        <v>Apr/2024</v>
      </c>
      <c r="J709">
        <f t="shared" si="23"/>
        <v>353483.47000000003</v>
      </c>
    </row>
    <row r="710" spans="1:10" hidden="1">
      <c r="A710">
        <v>709</v>
      </c>
      <c r="B710">
        <v>79</v>
      </c>
      <c r="C710" t="s">
        <v>12</v>
      </c>
      <c r="D710" s="1">
        <v>45361</v>
      </c>
      <c r="E710" t="s">
        <v>9</v>
      </c>
      <c r="F710" t="s">
        <v>10</v>
      </c>
      <c r="G710" t="s">
        <v>16</v>
      </c>
      <c r="H710">
        <v>711.6</v>
      </c>
      <c r="I710" t="str">
        <f t="shared" si="22"/>
        <v>Mar/2024</v>
      </c>
      <c r="J710">
        <f t="shared" si="23"/>
        <v>354195.07</v>
      </c>
    </row>
    <row r="711" spans="1:10" hidden="1">
      <c r="A711">
        <v>710</v>
      </c>
      <c r="B711">
        <v>4</v>
      </c>
      <c r="C711" t="s">
        <v>19</v>
      </c>
      <c r="D711" s="1">
        <v>45469</v>
      </c>
      <c r="E711" t="s">
        <v>26</v>
      </c>
      <c r="F711" t="s">
        <v>21</v>
      </c>
      <c r="G711" t="s">
        <v>11</v>
      </c>
      <c r="H711">
        <v>91.9</v>
      </c>
      <c r="I711" t="str">
        <f t="shared" si="22"/>
        <v>Jun/2024</v>
      </c>
      <c r="J711">
        <f t="shared" si="23"/>
        <v>354286.97000000003</v>
      </c>
    </row>
    <row r="712" spans="1:10" hidden="1">
      <c r="A712">
        <v>711</v>
      </c>
      <c r="B712">
        <v>36</v>
      </c>
      <c r="C712" t="s">
        <v>19</v>
      </c>
      <c r="D712" s="1">
        <v>45440</v>
      </c>
      <c r="E712" t="s">
        <v>15</v>
      </c>
      <c r="F712" t="s">
        <v>10</v>
      </c>
      <c r="G712" t="s">
        <v>20</v>
      </c>
      <c r="H712">
        <v>767.74</v>
      </c>
      <c r="I712" t="str">
        <f t="shared" si="22"/>
        <v>May/2024</v>
      </c>
      <c r="J712">
        <f t="shared" si="23"/>
        <v>355054.71</v>
      </c>
    </row>
    <row r="713" spans="1:10" hidden="1">
      <c r="A713">
        <v>712</v>
      </c>
      <c r="B713">
        <v>74</v>
      </c>
      <c r="C713" t="s">
        <v>8</v>
      </c>
      <c r="D713" s="1">
        <v>45381</v>
      </c>
      <c r="E713" t="s">
        <v>26</v>
      </c>
      <c r="F713" t="s">
        <v>10</v>
      </c>
      <c r="G713" t="s">
        <v>11</v>
      </c>
      <c r="H713">
        <v>535.88</v>
      </c>
      <c r="I713" t="str">
        <f t="shared" si="22"/>
        <v>Mar/2024</v>
      </c>
      <c r="J713">
        <f t="shared" si="23"/>
        <v>355590.59</v>
      </c>
    </row>
    <row r="714" spans="1:10" hidden="1">
      <c r="A714">
        <v>713</v>
      </c>
      <c r="B714">
        <v>36</v>
      </c>
      <c r="C714" t="s">
        <v>8</v>
      </c>
      <c r="D714" s="1">
        <v>45351</v>
      </c>
      <c r="E714" t="s">
        <v>15</v>
      </c>
      <c r="F714" t="s">
        <v>18</v>
      </c>
      <c r="G714" t="s">
        <v>16</v>
      </c>
      <c r="H714">
        <v>390.43</v>
      </c>
      <c r="I714" t="str">
        <f t="shared" si="22"/>
        <v>Feb/2024</v>
      </c>
      <c r="J714">
        <f t="shared" si="23"/>
        <v>355981.02</v>
      </c>
    </row>
    <row r="715" spans="1:10" hidden="1">
      <c r="A715">
        <v>714</v>
      </c>
      <c r="B715">
        <v>66</v>
      </c>
      <c r="C715" t="s">
        <v>19</v>
      </c>
      <c r="D715" s="1">
        <v>45447</v>
      </c>
      <c r="E715" t="s">
        <v>9</v>
      </c>
      <c r="F715" t="s">
        <v>10</v>
      </c>
      <c r="G715" t="s">
        <v>11</v>
      </c>
      <c r="H715">
        <v>932.34</v>
      </c>
      <c r="I715" t="str">
        <f t="shared" si="22"/>
        <v>Jun/2024</v>
      </c>
      <c r="J715">
        <f t="shared" si="23"/>
        <v>356913.36000000004</v>
      </c>
    </row>
    <row r="716" spans="1:10" hidden="1">
      <c r="A716">
        <v>715</v>
      </c>
      <c r="B716">
        <v>27</v>
      </c>
      <c r="C716" t="s">
        <v>12</v>
      </c>
      <c r="D716" s="1">
        <v>45403</v>
      </c>
      <c r="E716" t="s">
        <v>26</v>
      </c>
      <c r="F716" t="s">
        <v>21</v>
      </c>
      <c r="G716" t="s">
        <v>20</v>
      </c>
      <c r="H716">
        <v>763.5</v>
      </c>
      <c r="I716" t="str">
        <f t="shared" si="22"/>
        <v>Apr/2024</v>
      </c>
      <c r="J716">
        <f t="shared" si="23"/>
        <v>357676.86000000004</v>
      </c>
    </row>
    <row r="717" spans="1:10" hidden="1">
      <c r="A717">
        <v>716</v>
      </c>
      <c r="B717">
        <v>86</v>
      </c>
      <c r="C717" t="s">
        <v>8</v>
      </c>
      <c r="D717" s="1">
        <v>45387</v>
      </c>
      <c r="E717" t="s">
        <v>26</v>
      </c>
      <c r="F717" t="s">
        <v>10</v>
      </c>
      <c r="G717" t="s">
        <v>11</v>
      </c>
      <c r="H717">
        <v>438.58</v>
      </c>
      <c r="I717" t="str">
        <f t="shared" si="22"/>
        <v>Apr/2024</v>
      </c>
      <c r="J717">
        <f t="shared" si="23"/>
        <v>358115.44000000006</v>
      </c>
    </row>
    <row r="718" spans="1:10" hidden="1">
      <c r="A718">
        <v>717</v>
      </c>
      <c r="B718">
        <v>84</v>
      </c>
      <c r="C718" t="s">
        <v>19</v>
      </c>
      <c r="D718" s="1">
        <v>45292</v>
      </c>
      <c r="E718" t="s">
        <v>15</v>
      </c>
      <c r="F718" t="s">
        <v>10</v>
      </c>
      <c r="G718" t="s">
        <v>20</v>
      </c>
      <c r="H718">
        <v>147.94</v>
      </c>
      <c r="I718" t="str">
        <f t="shared" si="22"/>
        <v>Jan/2024</v>
      </c>
      <c r="J718">
        <f t="shared" si="23"/>
        <v>358263.38000000006</v>
      </c>
    </row>
    <row r="719" spans="1:10" hidden="1">
      <c r="A719">
        <v>718</v>
      </c>
      <c r="B719">
        <v>33</v>
      </c>
      <c r="C719" t="s">
        <v>19</v>
      </c>
      <c r="D719" s="1">
        <v>45362</v>
      </c>
      <c r="E719" t="s">
        <v>15</v>
      </c>
      <c r="F719" t="s">
        <v>10</v>
      </c>
      <c r="G719" t="s">
        <v>16</v>
      </c>
      <c r="H719">
        <v>967.35</v>
      </c>
      <c r="I719" t="str">
        <f t="shared" si="22"/>
        <v>Mar/2024</v>
      </c>
      <c r="J719">
        <f t="shared" si="23"/>
        <v>359230.73000000004</v>
      </c>
    </row>
    <row r="720" spans="1:10" hidden="1">
      <c r="A720">
        <v>719</v>
      </c>
      <c r="B720">
        <v>18</v>
      </c>
      <c r="C720" t="s">
        <v>19</v>
      </c>
      <c r="D720" s="1">
        <v>45386</v>
      </c>
      <c r="E720" t="s">
        <v>15</v>
      </c>
      <c r="F720" t="s">
        <v>10</v>
      </c>
      <c r="G720" t="s">
        <v>20</v>
      </c>
      <c r="H720">
        <v>909.42</v>
      </c>
      <c r="I720" t="str">
        <f t="shared" si="22"/>
        <v>Apr/2024</v>
      </c>
      <c r="J720">
        <f t="shared" si="23"/>
        <v>360140.15</v>
      </c>
    </row>
    <row r="721" spans="1:10" hidden="1">
      <c r="A721">
        <v>720</v>
      </c>
      <c r="B721">
        <v>77</v>
      </c>
      <c r="C721" t="s">
        <v>12</v>
      </c>
      <c r="D721" s="1">
        <v>45324</v>
      </c>
      <c r="E721" t="s">
        <v>15</v>
      </c>
      <c r="F721" t="s">
        <v>21</v>
      </c>
      <c r="G721" t="s">
        <v>20</v>
      </c>
      <c r="H721">
        <v>617.24</v>
      </c>
      <c r="I721" t="str">
        <f t="shared" si="22"/>
        <v>Feb/2024</v>
      </c>
      <c r="J721">
        <f t="shared" si="23"/>
        <v>360757.39</v>
      </c>
    </row>
    <row r="722" spans="1:10" hidden="1">
      <c r="A722">
        <v>721</v>
      </c>
      <c r="B722">
        <v>44</v>
      </c>
      <c r="C722" t="s">
        <v>19</v>
      </c>
      <c r="D722" s="1">
        <v>45408</v>
      </c>
      <c r="E722" t="s">
        <v>9</v>
      </c>
      <c r="F722" t="s">
        <v>21</v>
      </c>
      <c r="G722" t="s">
        <v>20</v>
      </c>
      <c r="H722">
        <v>552</v>
      </c>
      <c r="I722" t="str">
        <f t="shared" si="22"/>
        <v>Apr/2024</v>
      </c>
      <c r="J722">
        <f t="shared" si="23"/>
        <v>361309.39</v>
      </c>
    </row>
    <row r="723" spans="1:10" hidden="1">
      <c r="A723">
        <v>722</v>
      </c>
      <c r="B723">
        <v>76</v>
      </c>
      <c r="C723" t="s">
        <v>8</v>
      </c>
      <c r="D723" s="1">
        <v>45361</v>
      </c>
      <c r="E723" t="s">
        <v>15</v>
      </c>
      <c r="F723" t="s">
        <v>10</v>
      </c>
      <c r="G723" t="s">
        <v>20</v>
      </c>
      <c r="H723">
        <v>746.64</v>
      </c>
      <c r="I723" t="str">
        <f t="shared" si="22"/>
        <v>Mar/2024</v>
      </c>
      <c r="J723">
        <f t="shared" si="23"/>
        <v>362056.03</v>
      </c>
    </row>
    <row r="724" spans="1:10" hidden="1">
      <c r="A724">
        <v>723</v>
      </c>
      <c r="B724">
        <v>25</v>
      </c>
      <c r="C724" t="s">
        <v>8</v>
      </c>
      <c r="D724" s="1">
        <v>45318</v>
      </c>
      <c r="E724" t="s">
        <v>15</v>
      </c>
      <c r="F724" t="s">
        <v>18</v>
      </c>
      <c r="G724" t="s">
        <v>11</v>
      </c>
      <c r="H724">
        <v>133.43</v>
      </c>
      <c r="I724" t="str">
        <f t="shared" si="22"/>
        <v>Jan/2024</v>
      </c>
      <c r="J724">
        <f t="shared" si="23"/>
        <v>362189.46</v>
      </c>
    </row>
    <row r="725" spans="1:10" hidden="1">
      <c r="A725">
        <v>724</v>
      </c>
      <c r="B725">
        <v>58</v>
      </c>
      <c r="C725" t="s">
        <v>8</v>
      </c>
      <c r="D725" s="1">
        <v>45343</v>
      </c>
      <c r="E725" t="s">
        <v>26</v>
      </c>
      <c r="F725" t="s">
        <v>21</v>
      </c>
      <c r="G725" t="s">
        <v>20</v>
      </c>
      <c r="H725">
        <v>437.82</v>
      </c>
      <c r="I725" t="str">
        <f t="shared" si="22"/>
        <v>Feb/2024</v>
      </c>
      <c r="J725">
        <f t="shared" si="23"/>
        <v>362627.28</v>
      </c>
    </row>
    <row r="726" spans="1:10" hidden="1">
      <c r="A726">
        <v>725</v>
      </c>
      <c r="B726">
        <v>15</v>
      </c>
      <c r="C726" t="s">
        <v>19</v>
      </c>
      <c r="D726" s="1">
        <v>45378</v>
      </c>
      <c r="E726" t="s">
        <v>26</v>
      </c>
      <c r="F726" t="s">
        <v>10</v>
      </c>
      <c r="G726" t="s">
        <v>11</v>
      </c>
      <c r="H726">
        <v>713.29</v>
      </c>
      <c r="I726" t="str">
        <f t="shared" si="22"/>
        <v>Mar/2024</v>
      </c>
      <c r="J726">
        <f t="shared" si="23"/>
        <v>363340.57</v>
      </c>
    </row>
    <row r="727" spans="1:10" hidden="1">
      <c r="A727">
        <v>726</v>
      </c>
      <c r="B727">
        <v>24</v>
      </c>
      <c r="C727" t="s">
        <v>19</v>
      </c>
      <c r="D727" s="1">
        <v>45347</v>
      </c>
      <c r="E727" t="s">
        <v>26</v>
      </c>
      <c r="F727" t="s">
        <v>18</v>
      </c>
      <c r="G727" t="s">
        <v>16</v>
      </c>
      <c r="H727">
        <v>321.04000000000002</v>
      </c>
      <c r="I727" t="str">
        <f t="shared" si="22"/>
        <v>Feb/2024</v>
      </c>
      <c r="J727">
        <f t="shared" si="23"/>
        <v>363661.61</v>
      </c>
    </row>
    <row r="728" spans="1:10" hidden="1">
      <c r="A728">
        <v>727</v>
      </c>
      <c r="B728">
        <v>92</v>
      </c>
      <c r="C728" t="s">
        <v>12</v>
      </c>
      <c r="D728" s="1">
        <v>45303</v>
      </c>
      <c r="E728" t="s">
        <v>26</v>
      </c>
      <c r="F728" t="s">
        <v>10</v>
      </c>
      <c r="G728" t="s">
        <v>16</v>
      </c>
      <c r="H728">
        <v>988.41</v>
      </c>
      <c r="I728" t="str">
        <f t="shared" si="22"/>
        <v>Jan/2024</v>
      </c>
      <c r="J728">
        <f t="shared" si="23"/>
        <v>364650.01999999996</v>
      </c>
    </row>
    <row r="729" spans="1:10" hidden="1">
      <c r="A729">
        <v>728</v>
      </c>
      <c r="B729">
        <v>5</v>
      </c>
      <c r="C729" t="s">
        <v>8</v>
      </c>
      <c r="D729" s="1">
        <v>45301</v>
      </c>
      <c r="E729" t="s">
        <v>9</v>
      </c>
      <c r="F729" t="s">
        <v>18</v>
      </c>
      <c r="G729" t="s">
        <v>20</v>
      </c>
      <c r="H729">
        <v>164.56</v>
      </c>
      <c r="I729" t="str">
        <f t="shared" si="22"/>
        <v>Jan/2024</v>
      </c>
      <c r="J729">
        <f t="shared" si="23"/>
        <v>364814.57999999996</v>
      </c>
    </row>
    <row r="730" spans="1:10" hidden="1">
      <c r="A730">
        <v>729</v>
      </c>
      <c r="B730">
        <v>74</v>
      </c>
      <c r="C730" t="s">
        <v>8</v>
      </c>
      <c r="D730" s="1">
        <v>45350</v>
      </c>
      <c r="E730" t="s">
        <v>9</v>
      </c>
      <c r="F730" t="s">
        <v>21</v>
      </c>
      <c r="G730" t="s">
        <v>20</v>
      </c>
      <c r="H730">
        <v>357.07</v>
      </c>
      <c r="I730" t="str">
        <f t="shared" si="22"/>
        <v>Feb/2024</v>
      </c>
      <c r="J730">
        <f t="shared" si="23"/>
        <v>365171.64999999997</v>
      </c>
    </row>
    <row r="731" spans="1:10" hidden="1">
      <c r="A731">
        <v>730</v>
      </c>
      <c r="B731">
        <v>31</v>
      </c>
      <c r="C731" t="s">
        <v>8</v>
      </c>
      <c r="D731" s="1">
        <v>45370</v>
      </c>
      <c r="E731" t="s">
        <v>26</v>
      </c>
      <c r="F731" t="s">
        <v>10</v>
      </c>
      <c r="G731" t="s">
        <v>16</v>
      </c>
      <c r="H731">
        <v>189.23</v>
      </c>
      <c r="I731" t="str">
        <f t="shared" si="22"/>
        <v>Mar/2024</v>
      </c>
      <c r="J731">
        <f t="shared" si="23"/>
        <v>365360.87999999995</v>
      </c>
    </row>
    <row r="732" spans="1:10" hidden="1">
      <c r="A732">
        <v>731</v>
      </c>
      <c r="B732">
        <v>37</v>
      </c>
      <c r="C732" t="s">
        <v>19</v>
      </c>
      <c r="D732" s="1">
        <v>45442</v>
      </c>
      <c r="E732" t="s">
        <v>9</v>
      </c>
      <c r="F732" t="s">
        <v>21</v>
      </c>
      <c r="G732" t="s">
        <v>20</v>
      </c>
      <c r="H732">
        <v>840.24</v>
      </c>
      <c r="I732" t="str">
        <f t="shared" si="22"/>
        <v>May/2024</v>
      </c>
      <c r="J732">
        <f t="shared" si="23"/>
        <v>366201.11999999994</v>
      </c>
    </row>
    <row r="733" spans="1:10" hidden="1">
      <c r="A733">
        <v>732</v>
      </c>
      <c r="B733">
        <v>44</v>
      </c>
      <c r="C733" t="s">
        <v>8</v>
      </c>
      <c r="D733" s="1">
        <v>45343</v>
      </c>
      <c r="E733" t="s">
        <v>15</v>
      </c>
      <c r="F733" t="s">
        <v>10</v>
      </c>
      <c r="G733" t="s">
        <v>16</v>
      </c>
      <c r="H733">
        <v>630.5</v>
      </c>
      <c r="I733" t="str">
        <f t="shared" si="22"/>
        <v>Feb/2024</v>
      </c>
      <c r="J733">
        <f t="shared" si="23"/>
        <v>366831.61999999994</v>
      </c>
    </row>
    <row r="734" spans="1:10" hidden="1">
      <c r="A734">
        <v>733</v>
      </c>
      <c r="B734">
        <v>28</v>
      </c>
      <c r="C734" t="s">
        <v>12</v>
      </c>
      <c r="D734" s="1">
        <v>45328</v>
      </c>
      <c r="E734" t="s">
        <v>26</v>
      </c>
      <c r="F734" t="s">
        <v>21</v>
      </c>
      <c r="G734" t="s">
        <v>20</v>
      </c>
      <c r="H734">
        <v>584.54</v>
      </c>
      <c r="I734" t="str">
        <f t="shared" si="22"/>
        <v>Feb/2024</v>
      </c>
      <c r="J734">
        <f t="shared" si="23"/>
        <v>367416.15999999992</v>
      </c>
    </row>
    <row r="735" spans="1:10" hidden="1">
      <c r="A735">
        <v>734</v>
      </c>
      <c r="B735">
        <v>85</v>
      </c>
      <c r="C735" t="s">
        <v>12</v>
      </c>
      <c r="D735" s="1">
        <v>45338</v>
      </c>
      <c r="E735" t="s">
        <v>26</v>
      </c>
      <c r="F735" t="s">
        <v>21</v>
      </c>
      <c r="G735" t="s">
        <v>16</v>
      </c>
      <c r="H735">
        <v>995.47</v>
      </c>
      <c r="I735" t="str">
        <f t="shared" si="22"/>
        <v>Feb/2024</v>
      </c>
      <c r="J735">
        <f t="shared" si="23"/>
        <v>368411.62999999989</v>
      </c>
    </row>
    <row r="736" spans="1:10" hidden="1">
      <c r="A736">
        <v>735</v>
      </c>
      <c r="B736">
        <v>60</v>
      </c>
      <c r="C736" t="s">
        <v>8</v>
      </c>
      <c r="D736" s="1">
        <v>45334</v>
      </c>
      <c r="E736" t="s">
        <v>26</v>
      </c>
      <c r="F736" t="s">
        <v>18</v>
      </c>
      <c r="G736" t="s">
        <v>20</v>
      </c>
      <c r="H736">
        <v>894.31</v>
      </c>
      <c r="I736" t="str">
        <f t="shared" si="22"/>
        <v>Feb/2024</v>
      </c>
      <c r="J736">
        <f t="shared" si="23"/>
        <v>369305.93999999989</v>
      </c>
    </row>
    <row r="737" spans="1:10" hidden="1">
      <c r="A737">
        <v>736</v>
      </c>
      <c r="B737">
        <v>63</v>
      </c>
      <c r="C737" t="s">
        <v>12</v>
      </c>
      <c r="D737" s="1">
        <v>45312</v>
      </c>
      <c r="E737" t="s">
        <v>9</v>
      </c>
      <c r="F737" t="s">
        <v>10</v>
      </c>
      <c r="G737" t="s">
        <v>16</v>
      </c>
      <c r="H737">
        <v>420.57</v>
      </c>
      <c r="I737" t="str">
        <f t="shared" si="22"/>
        <v>Jan/2024</v>
      </c>
      <c r="J737">
        <f t="shared" si="23"/>
        <v>369726.50999999989</v>
      </c>
    </row>
    <row r="738" spans="1:10" hidden="1">
      <c r="A738">
        <v>737</v>
      </c>
      <c r="B738">
        <v>46</v>
      </c>
      <c r="C738" t="s">
        <v>8</v>
      </c>
      <c r="D738" s="1">
        <v>45396</v>
      </c>
      <c r="E738" t="s">
        <v>9</v>
      </c>
      <c r="F738" t="s">
        <v>21</v>
      </c>
      <c r="G738" t="s">
        <v>11</v>
      </c>
      <c r="H738">
        <v>71.86</v>
      </c>
      <c r="I738" t="str">
        <f t="shared" si="22"/>
        <v>Apr/2024</v>
      </c>
      <c r="J738">
        <f t="shared" si="23"/>
        <v>369798.36999999988</v>
      </c>
    </row>
    <row r="739" spans="1:10">
      <c r="A739">
        <v>738</v>
      </c>
      <c r="B739">
        <v>81</v>
      </c>
      <c r="C739" t="s">
        <v>8</v>
      </c>
      <c r="D739" s="1">
        <v>45416</v>
      </c>
      <c r="E739" t="s">
        <v>15</v>
      </c>
      <c r="F739" t="s">
        <v>10</v>
      </c>
      <c r="G739" t="s">
        <v>20</v>
      </c>
      <c r="H739">
        <v>895.96</v>
      </c>
      <c r="I739" t="str">
        <f t="shared" si="22"/>
        <v>May/2024</v>
      </c>
      <c r="J739">
        <f t="shared" si="23"/>
        <v>370694.3299999999</v>
      </c>
    </row>
    <row r="740" spans="1:10" hidden="1">
      <c r="A740">
        <v>739</v>
      </c>
      <c r="B740">
        <v>98</v>
      </c>
      <c r="C740" t="s">
        <v>19</v>
      </c>
      <c r="D740" s="1">
        <v>45326</v>
      </c>
      <c r="E740" t="s">
        <v>9</v>
      </c>
      <c r="F740" t="s">
        <v>21</v>
      </c>
      <c r="G740" t="s">
        <v>20</v>
      </c>
      <c r="H740">
        <v>491.28</v>
      </c>
      <c r="I740" t="str">
        <f t="shared" si="22"/>
        <v>Feb/2024</v>
      </c>
      <c r="J740">
        <f t="shared" si="23"/>
        <v>371185.60999999993</v>
      </c>
    </row>
    <row r="741" spans="1:10" hidden="1">
      <c r="A741">
        <v>740</v>
      </c>
      <c r="B741">
        <v>79</v>
      </c>
      <c r="C741" t="s">
        <v>12</v>
      </c>
      <c r="D741" s="1">
        <v>45405</v>
      </c>
      <c r="E741" t="s">
        <v>15</v>
      </c>
      <c r="F741" t="s">
        <v>21</v>
      </c>
      <c r="G741" t="s">
        <v>20</v>
      </c>
      <c r="H741">
        <v>63.99</v>
      </c>
      <c r="I741" t="str">
        <f t="shared" si="22"/>
        <v>Apr/2024</v>
      </c>
      <c r="J741">
        <f t="shared" si="23"/>
        <v>371249.59999999992</v>
      </c>
    </row>
    <row r="742" spans="1:10" hidden="1">
      <c r="A742">
        <v>741</v>
      </c>
      <c r="B742">
        <v>91</v>
      </c>
      <c r="C742" t="s">
        <v>19</v>
      </c>
      <c r="D742" s="1">
        <v>45388</v>
      </c>
      <c r="E742" t="s">
        <v>15</v>
      </c>
      <c r="F742" t="s">
        <v>10</v>
      </c>
      <c r="G742" t="s">
        <v>11</v>
      </c>
      <c r="H742">
        <v>409.99</v>
      </c>
      <c r="I742" t="str">
        <f t="shared" si="22"/>
        <v>Apr/2024</v>
      </c>
      <c r="J742">
        <f t="shared" si="23"/>
        <v>371659.58999999991</v>
      </c>
    </row>
    <row r="743" spans="1:10" hidden="1">
      <c r="A743">
        <v>742</v>
      </c>
      <c r="B743">
        <v>51</v>
      </c>
      <c r="C743" t="s">
        <v>19</v>
      </c>
      <c r="D743" s="1">
        <v>45297</v>
      </c>
      <c r="E743" t="s">
        <v>15</v>
      </c>
      <c r="F743" t="s">
        <v>18</v>
      </c>
      <c r="G743" t="s">
        <v>16</v>
      </c>
      <c r="H743">
        <v>391.78</v>
      </c>
      <c r="I743" t="str">
        <f t="shared" si="22"/>
        <v>Jan/2024</v>
      </c>
      <c r="J743">
        <f t="shared" si="23"/>
        <v>372051.36999999994</v>
      </c>
    </row>
    <row r="744" spans="1:10" hidden="1">
      <c r="A744">
        <v>743</v>
      </c>
      <c r="B744">
        <v>27</v>
      </c>
      <c r="C744" t="s">
        <v>19</v>
      </c>
      <c r="D744" s="1">
        <v>45315</v>
      </c>
      <c r="E744" t="s">
        <v>15</v>
      </c>
      <c r="F744" t="s">
        <v>10</v>
      </c>
      <c r="G744" t="s">
        <v>20</v>
      </c>
      <c r="H744">
        <v>921.78</v>
      </c>
      <c r="I744" t="str">
        <f t="shared" si="22"/>
        <v>Jan/2024</v>
      </c>
      <c r="J744">
        <f t="shared" si="23"/>
        <v>372973.14999999997</v>
      </c>
    </row>
    <row r="745" spans="1:10" hidden="1">
      <c r="A745">
        <v>744</v>
      </c>
      <c r="B745">
        <v>30</v>
      </c>
      <c r="C745" t="s">
        <v>19</v>
      </c>
      <c r="D745" s="1">
        <v>45453</v>
      </c>
      <c r="E745" t="s">
        <v>9</v>
      </c>
      <c r="F745" t="s">
        <v>10</v>
      </c>
      <c r="G745" t="s">
        <v>20</v>
      </c>
      <c r="H745">
        <v>789.34</v>
      </c>
      <c r="I745" t="str">
        <f t="shared" si="22"/>
        <v>Jun/2024</v>
      </c>
      <c r="J745">
        <f t="shared" si="23"/>
        <v>373762.49</v>
      </c>
    </row>
    <row r="746" spans="1:10" hidden="1">
      <c r="A746">
        <v>745</v>
      </c>
      <c r="B746">
        <v>97</v>
      </c>
      <c r="C746" t="s">
        <v>19</v>
      </c>
      <c r="D746" s="1">
        <v>45420</v>
      </c>
      <c r="E746" t="s">
        <v>15</v>
      </c>
      <c r="F746" t="s">
        <v>21</v>
      </c>
      <c r="G746" t="s">
        <v>11</v>
      </c>
      <c r="H746">
        <v>862.7</v>
      </c>
      <c r="I746" t="str">
        <f t="shared" si="22"/>
        <v>May/2024</v>
      </c>
      <c r="J746">
        <f t="shared" si="23"/>
        <v>374625.19</v>
      </c>
    </row>
    <row r="747" spans="1:10" hidden="1">
      <c r="A747">
        <v>746</v>
      </c>
      <c r="B747">
        <v>93</v>
      </c>
      <c r="C747" t="s">
        <v>8</v>
      </c>
      <c r="D747" s="1">
        <v>45331</v>
      </c>
      <c r="E747" t="s">
        <v>9</v>
      </c>
      <c r="F747" t="s">
        <v>10</v>
      </c>
      <c r="G747" t="s">
        <v>20</v>
      </c>
      <c r="H747">
        <v>395.02</v>
      </c>
      <c r="I747" t="str">
        <f t="shared" si="22"/>
        <v>Feb/2024</v>
      </c>
      <c r="J747">
        <f t="shared" si="23"/>
        <v>375020.21</v>
      </c>
    </row>
    <row r="748" spans="1:10" hidden="1">
      <c r="A748">
        <v>747</v>
      </c>
      <c r="B748">
        <v>52</v>
      </c>
      <c r="C748" t="s">
        <v>19</v>
      </c>
      <c r="D748" s="1">
        <v>45354</v>
      </c>
      <c r="E748" t="s">
        <v>26</v>
      </c>
      <c r="F748" t="s">
        <v>10</v>
      </c>
      <c r="G748" t="s">
        <v>11</v>
      </c>
      <c r="H748">
        <v>507.39</v>
      </c>
      <c r="I748" t="str">
        <f t="shared" si="22"/>
        <v>Mar/2024</v>
      </c>
      <c r="J748">
        <f t="shared" si="23"/>
        <v>375527.60000000003</v>
      </c>
    </row>
    <row r="749" spans="1:10" hidden="1">
      <c r="A749">
        <v>748</v>
      </c>
      <c r="B749">
        <v>41</v>
      </c>
      <c r="C749" t="s">
        <v>19</v>
      </c>
      <c r="D749" s="1">
        <v>45336</v>
      </c>
      <c r="E749" t="s">
        <v>15</v>
      </c>
      <c r="F749" t="s">
        <v>21</v>
      </c>
      <c r="G749" t="s">
        <v>20</v>
      </c>
      <c r="H749">
        <v>990.02</v>
      </c>
      <c r="I749" t="str">
        <f t="shared" si="22"/>
        <v>Feb/2024</v>
      </c>
      <c r="J749">
        <f t="shared" si="23"/>
        <v>376517.62000000005</v>
      </c>
    </row>
    <row r="750" spans="1:10" hidden="1">
      <c r="A750">
        <v>749</v>
      </c>
      <c r="B750">
        <v>64</v>
      </c>
      <c r="C750" t="s">
        <v>12</v>
      </c>
      <c r="D750" s="1">
        <v>45460</v>
      </c>
      <c r="E750" t="s">
        <v>9</v>
      </c>
      <c r="F750" t="s">
        <v>10</v>
      </c>
      <c r="G750" t="s">
        <v>11</v>
      </c>
      <c r="H750">
        <v>466.97</v>
      </c>
      <c r="I750" t="str">
        <f t="shared" si="22"/>
        <v>Jun/2024</v>
      </c>
      <c r="J750">
        <f t="shared" si="23"/>
        <v>376984.59</v>
      </c>
    </row>
    <row r="751" spans="1:10" hidden="1">
      <c r="A751">
        <v>750</v>
      </c>
      <c r="B751">
        <v>9</v>
      </c>
      <c r="C751" t="s">
        <v>12</v>
      </c>
      <c r="D751" s="1">
        <v>45374</v>
      </c>
      <c r="E751" t="s">
        <v>26</v>
      </c>
      <c r="F751" t="s">
        <v>21</v>
      </c>
      <c r="G751" t="s">
        <v>20</v>
      </c>
      <c r="H751">
        <v>49.52</v>
      </c>
      <c r="I751" t="str">
        <f t="shared" si="22"/>
        <v>Mar/2024</v>
      </c>
      <c r="J751">
        <f t="shared" si="23"/>
        <v>377034.11000000004</v>
      </c>
    </row>
    <row r="752" spans="1:10" hidden="1">
      <c r="A752">
        <v>751</v>
      </c>
      <c r="B752">
        <v>42</v>
      </c>
      <c r="C752" t="s">
        <v>12</v>
      </c>
      <c r="D752" s="1">
        <v>45305</v>
      </c>
      <c r="E752" t="s">
        <v>9</v>
      </c>
      <c r="F752" t="s">
        <v>10</v>
      </c>
      <c r="G752" t="s">
        <v>20</v>
      </c>
      <c r="H752">
        <v>543.92999999999995</v>
      </c>
      <c r="I752" t="str">
        <f t="shared" si="22"/>
        <v>Jan/2024</v>
      </c>
      <c r="J752">
        <f t="shared" si="23"/>
        <v>377578.04000000004</v>
      </c>
    </row>
    <row r="753" spans="1:10">
      <c r="A753">
        <v>752</v>
      </c>
      <c r="B753">
        <v>81</v>
      </c>
      <c r="C753" t="s">
        <v>12</v>
      </c>
      <c r="D753" s="1">
        <v>45424</v>
      </c>
      <c r="E753" t="s">
        <v>26</v>
      </c>
      <c r="F753" t="s">
        <v>21</v>
      </c>
      <c r="G753" t="s">
        <v>16</v>
      </c>
      <c r="H753">
        <v>688.91</v>
      </c>
      <c r="I753" t="str">
        <f t="shared" si="22"/>
        <v>May/2024</v>
      </c>
      <c r="J753">
        <f t="shared" si="23"/>
        <v>378266.95</v>
      </c>
    </row>
    <row r="754" spans="1:10" hidden="1">
      <c r="A754">
        <v>753</v>
      </c>
      <c r="B754">
        <v>83</v>
      </c>
      <c r="C754" t="s">
        <v>19</v>
      </c>
      <c r="D754" s="1">
        <v>45299</v>
      </c>
      <c r="E754" t="s">
        <v>26</v>
      </c>
      <c r="F754" t="s">
        <v>18</v>
      </c>
      <c r="G754" t="s">
        <v>11</v>
      </c>
      <c r="H754">
        <v>140.96</v>
      </c>
      <c r="I754" t="str">
        <f t="shared" si="22"/>
        <v>Jan/2024</v>
      </c>
      <c r="J754">
        <f t="shared" si="23"/>
        <v>378407.91000000003</v>
      </c>
    </row>
    <row r="755" spans="1:10" hidden="1">
      <c r="A755">
        <v>754</v>
      </c>
      <c r="B755">
        <v>17</v>
      </c>
      <c r="C755" t="s">
        <v>8</v>
      </c>
      <c r="D755" s="1">
        <v>45304</v>
      </c>
      <c r="E755" t="s">
        <v>9</v>
      </c>
      <c r="F755" t="s">
        <v>10</v>
      </c>
      <c r="G755" t="s">
        <v>20</v>
      </c>
      <c r="H755">
        <v>624.69000000000005</v>
      </c>
      <c r="I755" t="str">
        <f t="shared" si="22"/>
        <v>Jan/2024</v>
      </c>
      <c r="J755">
        <f t="shared" si="23"/>
        <v>379032.60000000003</v>
      </c>
    </row>
    <row r="756" spans="1:10" hidden="1">
      <c r="A756">
        <v>755</v>
      </c>
      <c r="B756">
        <v>90</v>
      </c>
      <c r="C756" t="s">
        <v>19</v>
      </c>
      <c r="D756" s="1">
        <v>45292</v>
      </c>
      <c r="E756" t="s">
        <v>9</v>
      </c>
      <c r="F756" t="s">
        <v>18</v>
      </c>
      <c r="G756" t="s">
        <v>20</v>
      </c>
      <c r="H756">
        <v>317.5</v>
      </c>
      <c r="I756" t="str">
        <f t="shared" si="22"/>
        <v>Jan/2024</v>
      </c>
      <c r="J756">
        <f t="shared" si="23"/>
        <v>379350.10000000003</v>
      </c>
    </row>
    <row r="757" spans="1:10" hidden="1">
      <c r="A757">
        <v>756</v>
      </c>
      <c r="B757">
        <v>77</v>
      </c>
      <c r="C757" t="s">
        <v>12</v>
      </c>
      <c r="D757" s="1">
        <v>45455</v>
      </c>
      <c r="E757" t="s">
        <v>9</v>
      </c>
      <c r="F757" t="s">
        <v>10</v>
      </c>
      <c r="G757" t="s">
        <v>20</v>
      </c>
      <c r="H757">
        <v>363.84</v>
      </c>
      <c r="I757" t="str">
        <f t="shared" si="22"/>
        <v>Jun/2024</v>
      </c>
      <c r="J757">
        <f t="shared" si="23"/>
        <v>379713.94000000006</v>
      </c>
    </row>
    <row r="758" spans="1:10" hidden="1">
      <c r="A758">
        <v>757</v>
      </c>
      <c r="B758">
        <v>40</v>
      </c>
      <c r="C758" t="s">
        <v>12</v>
      </c>
      <c r="D758" s="1">
        <v>45368</v>
      </c>
      <c r="E758" t="s">
        <v>26</v>
      </c>
      <c r="F758" t="s">
        <v>21</v>
      </c>
      <c r="G758" t="s">
        <v>20</v>
      </c>
      <c r="H758">
        <v>472.15</v>
      </c>
      <c r="I758" t="str">
        <f t="shared" si="22"/>
        <v>Mar/2024</v>
      </c>
      <c r="J758">
        <f t="shared" si="23"/>
        <v>380186.09000000008</v>
      </c>
    </row>
    <row r="759" spans="1:10" hidden="1">
      <c r="A759">
        <v>758</v>
      </c>
      <c r="B759">
        <v>12</v>
      </c>
      <c r="C759" t="s">
        <v>19</v>
      </c>
      <c r="D759" s="1">
        <v>45313</v>
      </c>
      <c r="E759" t="s">
        <v>15</v>
      </c>
      <c r="F759" t="s">
        <v>21</v>
      </c>
      <c r="G759" t="s">
        <v>16</v>
      </c>
      <c r="H759">
        <v>765.19</v>
      </c>
      <c r="I759" t="str">
        <f t="shared" si="22"/>
        <v>Jan/2024</v>
      </c>
      <c r="J759">
        <f t="shared" si="23"/>
        <v>380951.28000000009</v>
      </c>
    </row>
    <row r="760" spans="1:10" hidden="1">
      <c r="A760">
        <v>759</v>
      </c>
      <c r="B760">
        <v>40</v>
      </c>
      <c r="C760" t="s">
        <v>19</v>
      </c>
      <c r="D760" s="1">
        <v>45374</v>
      </c>
      <c r="E760" t="s">
        <v>26</v>
      </c>
      <c r="F760" t="s">
        <v>21</v>
      </c>
      <c r="G760" t="s">
        <v>20</v>
      </c>
      <c r="H760">
        <v>551.79</v>
      </c>
      <c r="I760" t="str">
        <f t="shared" si="22"/>
        <v>Mar/2024</v>
      </c>
      <c r="J760">
        <f t="shared" si="23"/>
        <v>381503.07000000007</v>
      </c>
    </row>
    <row r="761" spans="1:10" hidden="1">
      <c r="A761">
        <v>760</v>
      </c>
      <c r="B761">
        <v>31</v>
      </c>
      <c r="C761" t="s">
        <v>8</v>
      </c>
      <c r="D761" s="1">
        <v>45465</v>
      </c>
      <c r="E761" t="s">
        <v>26</v>
      </c>
      <c r="F761" t="s">
        <v>18</v>
      </c>
      <c r="G761" t="s">
        <v>20</v>
      </c>
      <c r="H761">
        <v>950.2</v>
      </c>
      <c r="I761" t="str">
        <f t="shared" si="22"/>
        <v>Jun/2024</v>
      </c>
      <c r="J761">
        <f t="shared" si="23"/>
        <v>382453.27000000008</v>
      </c>
    </row>
    <row r="762" spans="1:10" hidden="1">
      <c r="A762">
        <v>761</v>
      </c>
      <c r="B762">
        <v>67</v>
      </c>
      <c r="C762" t="s">
        <v>12</v>
      </c>
      <c r="D762" s="1">
        <v>45296</v>
      </c>
      <c r="E762" t="s">
        <v>9</v>
      </c>
      <c r="F762" t="s">
        <v>18</v>
      </c>
      <c r="G762" t="s">
        <v>16</v>
      </c>
      <c r="H762">
        <v>749.01</v>
      </c>
      <c r="I762" t="str">
        <f t="shared" si="22"/>
        <v>Jan/2024</v>
      </c>
      <c r="J762">
        <f t="shared" si="23"/>
        <v>383202.28000000009</v>
      </c>
    </row>
    <row r="763" spans="1:10" hidden="1">
      <c r="A763">
        <v>762</v>
      </c>
      <c r="B763">
        <v>27</v>
      </c>
      <c r="C763" t="s">
        <v>19</v>
      </c>
      <c r="D763" s="1">
        <v>45337</v>
      </c>
      <c r="E763" t="s">
        <v>15</v>
      </c>
      <c r="F763" t="s">
        <v>18</v>
      </c>
      <c r="G763" t="s">
        <v>20</v>
      </c>
      <c r="H763">
        <v>917.24</v>
      </c>
      <c r="I763" t="str">
        <f t="shared" si="22"/>
        <v>Feb/2024</v>
      </c>
      <c r="J763">
        <f t="shared" si="23"/>
        <v>384119.52000000008</v>
      </c>
    </row>
    <row r="764" spans="1:10" hidden="1">
      <c r="A764">
        <v>763</v>
      </c>
      <c r="B764">
        <v>44</v>
      </c>
      <c r="C764" t="s">
        <v>19</v>
      </c>
      <c r="D764" s="1">
        <v>45406</v>
      </c>
      <c r="E764" t="s">
        <v>9</v>
      </c>
      <c r="F764" t="s">
        <v>10</v>
      </c>
      <c r="G764" t="s">
        <v>16</v>
      </c>
      <c r="H764">
        <v>527.76</v>
      </c>
      <c r="I764" t="str">
        <f t="shared" si="22"/>
        <v>Apr/2024</v>
      </c>
      <c r="J764">
        <f t="shared" si="23"/>
        <v>384647.28000000009</v>
      </c>
    </row>
    <row r="765" spans="1:10" hidden="1">
      <c r="A765">
        <v>764</v>
      </c>
      <c r="B765">
        <v>40</v>
      </c>
      <c r="C765" t="s">
        <v>8</v>
      </c>
      <c r="D765" s="1">
        <v>45408</v>
      </c>
      <c r="E765" t="s">
        <v>15</v>
      </c>
      <c r="F765" t="s">
        <v>10</v>
      </c>
      <c r="G765" t="s">
        <v>11</v>
      </c>
      <c r="H765">
        <v>615.24</v>
      </c>
      <c r="I765" t="str">
        <f t="shared" si="22"/>
        <v>Apr/2024</v>
      </c>
      <c r="J765">
        <f t="shared" si="23"/>
        <v>385262.52000000008</v>
      </c>
    </row>
    <row r="766" spans="1:10" hidden="1">
      <c r="A766">
        <v>765</v>
      </c>
      <c r="B766">
        <v>70</v>
      </c>
      <c r="C766" t="s">
        <v>8</v>
      </c>
      <c r="D766" s="1">
        <v>45408</v>
      </c>
      <c r="E766" t="s">
        <v>9</v>
      </c>
      <c r="F766" t="s">
        <v>10</v>
      </c>
      <c r="G766" t="s">
        <v>11</v>
      </c>
      <c r="H766">
        <v>610.26</v>
      </c>
      <c r="I766" t="str">
        <f t="shared" si="22"/>
        <v>Apr/2024</v>
      </c>
      <c r="J766">
        <f t="shared" si="23"/>
        <v>385872.78000000009</v>
      </c>
    </row>
    <row r="767" spans="1:10" hidden="1">
      <c r="A767">
        <v>766</v>
      </c>
      <c r="B767">
        <v>49</v>
      </c>
      <c r="C767" t="s">
        <v>19</v>
      </c>
      <c r="D767" s="1">
        <v>45388</v>
      </c>
      <c r="E767" t="s">
        <v>9</v>
      </c>
      <c r="F767" t="s">
        <v>21</v>
      </c>
      <c r="G767" t="s">
        <v>11</v>
      </c>
      <c r="H767">
        <v>305.36</v>
      </c>
      <c r="I767" t="str">
        <f t="shared" si="22"/>
        <v>Apr/2024</v>
      </c>
      <c r="J767">
        <f t="shared" si="23"/>
        <v>386178.14000000007</v>
      </c>
    </row>
    <row r="768" spans="1:10">
      <c r="A768">
        <v>767</v>
      </c>
      <c r="B768">
        <v>81</v>
      </c>
      <c r="C768" t="s">
        <v>8</v>
      </c>
      <c r="D768" s="1">
        <v>45374</v>
      </c>
      <c r="E768" t="s">
        <v>9</v>
      </c>
      <c r="F768" t="s">
        <v>10</v>
      </c>
      <c r="G768" t="s">
        <v>16</v>
      </c>
      <c r="H768">
        <v>753.7</v>
      </c>
      <c r="I768" t="str">
        <f t="shared" si="22"/>
        <v>Mar/2024</v>
      </c>
      <c r="J768">
        <f t="shared" si="23"/>
        <v>386931.84000000008</v>
      </c>
    </row>
    <row r="769" spans="1:10" hidden="1">
      <c r="A769">
        <v>768</v>
      </c>
      <c r="B769">
        <v>48</v>
      </c>
      <c r="C769" t="s">
        <v>19</v>
      </c>
      <c r="D769" s="1">
        <v>45300</v>
      </c>
      <c r="E769" t="s">
        <v>15</v>
      </c>
      <c r="F769" t="s">
        <v>21</v>
      </c>
      <c r="G769" t="s">
        <v>11</v>
      </c>
      <c r="H769">
        <v>67.489999999999995</v>
      </c>
      <c r="I769" t="str">
        <f t="shared" si="22"/>
        <v>Jan/2024</v>
      </c>
      <c r="J769">
        <f t="shared" si="23"/>
        <v>386999.33000000007</v>
      </c>
    </row>
    <row r="770" spans="1:10" hidden="1">
      <c r="A770">
        <v>769</v>
      </c>
      <c r="B770">
        <v>83</v>
      </c>
      <c r="C770" t="s">
        <v>8</v>
      </c>
      <c r="D770" s="1">
        <v>45469</v>
      </c>
      <c r="E770" t="s">
        <v>9</v>
      </c>
      <c r="F770" t="s">
        <v>10</v>
      </c>
      <c r="G770" t="s">
        <v>11</v>
      </c>
      <c r="H770">
        <v>655.26</v>
      </c>
      <c r="I770" t="str">
        <f t="shared" si="22"/>
        <v>Jun/2024</v>
      </c>
      <c r="J770">
        <f t="shared" si="23"/>
        <v>387654.59000000008</v>
      </c>
    </row>
    <row r="771" spans="1:10" hidden="1">
      <c r="A771">
        <v>770</v>
      </c>
      <c r="B771">
        <v>56</v>
      </c>
      <c r="C771" t="s">
        <v>8</v>
      </c>
      <c r="D771" s="1">
        <v>45406</v>
      </c>
      <c r="E771" t="s">
        <v>26</v>
      </c>
      <c r="F771" t="s">
        <v>21</v>
      </c>
      <c r="G771" t="s">
        <v>11</v>
      </c>
      <c r="H771">
        <v>119.28</v>
      </c>
      <c r="I771" t="str">
        <f t="shared" ref="I771:I834" si="24">TEXT(D771,"mmm/yyyy")</f>
        <v>Apr/2024</v>
      </c>
      <c r="J771">
        <f t="shared" si="23"/>
        <v>387773.87000000011</v>
      </c>
    </row>
    <row r="772" spans="1:10" hidden="1">
      <c r="A772">
        <v>771</v>
      </c>
      <c r="B772">
        <v>97</v>
      </c>
      <c r="C772" t="s">
        <v>8</v>
      </c>
      <c r="D772" s="1">
        <v>45304</v>
      </c>
      <c r="E772" t="s">
        <v>15</v>
      </c>
      <c r="F772" t="s">
        <v>18</v>
      </c>
      <c r="G772" t="s">
        <v>20</v>
      </c>
      <c r="H772">
        <v>617.35</v>
      </c>
      <c r="I772" t="str">
        <f t="shared" si="24"/>
        <v>Jan/2024</v>
      </c>
      <c r="J772">
        <f t="shared" ref="J772:J835" si="25">J771+H772</f>
        <v>388391.22000000009</v>
      </c>
    </row>
    <row r="773" spans="1:10" hidden="1">
      <c r="A773">
        <v>772</v>
      </c>
      <c r="B773">
        <v>1</v>
      </c>
      <c r="C773" t="s">
        <v>19</v>
      </c>
      <c r="D773" s="1">
        <v>45454</v>
      </c>
      <c r="E773" t="s">
        <v>26</v>
      </c>
      <c r="F773" t="s">
        <v>18</v>
      </c>
      <c r="G773" t="s">
        <v>20</v>
      </c>
      <c r="H773">
        <v>514.52</v>
      </c>
      <c r="I773" t="str">
        <f t="shared" si="24"/>
        <v>Jun/2024</v>
      </c>
      <c r="J773">
        <f t="shared" si="25"/>
        <v>388905.74000000011</v>
      </c>
    </row>
    <row r="774" spans="1:10" hidden="1">
      <c r="A774">
        <v>773</v>
      </c>
      <c r="B774">
        <v>57</v>
      </c>
      <c r="C774" t="s">
        <v>12</v>
      </c>
      <c r="D774" s="1">
        <v>45381</v>
      </c>
      <c r="E774" t="s">
        <v>9</v>
      </c>
      <c r="F774" t="s">
        <v>10</v>
      </c>
      <c r="G774" t="s">
        <v>16</v>
      </c>
      <c r="H774">
        <v>552.29999999999995</v>
      </c>
      <c r="I774" t="str">
        <f t="shared" si="24"/>
        <v>Mar/2024</v>
      </c>
      <c r="J774">
        <f t="shared" si="25"/>
        <v>389458.0400000001</v>
      </c>
    </row>
    <row r="775" spans="1:10" hidden="1">
      <c r="A775">
        <v>774</v>
      </c>
      <c r="B775">
        <v>35</v>
      </c>
      <c r="C775" t="s">
        <v>8</v>
      </c>
      <c r="D775" s="1">
        <v>45368</v>
      </c>
      <c r="E775" t="s">
        <v>26</v>
      </c>
      <c r="F775" t="s">
        <v>18</v>
      </c>
      <c r="G775" t="s">
        <v>20</v>
      </c>
      <c r="H775">
        <v>957.27</v>
      </c>
      <c r="I775" t="str">
        <f t="shared" si="24"/>
        <v>Mar/2024</v>
      </c>
      <c r="J775">
        <f t="shared" si="25"/>
        <v>390415.31000000011</v>
      </c>
    </row>
    <row r="776" spans="1:10" hidden="1">
      <c r="A776">
        <v>775</v>
      </c>
      <c r="B776">
        <v>22</v>
      </c>
      <c r="C776" t="s">
        <v>19</v>
      </c>
      <c r="D776" s="1">
        <v>45428</v>
      </c>
      <c r="E776" t="s">
        <v>26</v>
      </c>
      <c r="F776" t="s">
        <v>10</v>
      </c>
      <c r="G776" t="s">
        <v>11</v>
      </c>
      <c r="H776">
        <v>379.78</v>
      </c>
      <c r="I776" t="str">
        <f t="shared" si="24"/>
        <v>May/2024</v>
      </c>
      <c r="J776">
        <f t="shared" si="25"/>
        <v>390795.09000000014</v>
      </c>
    </row>
    <row r="777" spans="1:10" hidden="1">
      <c r="A777">
        <v>776</v>
      </c>
      <c r="B777">
        <v>37</v>
      </c>
      <c r="C777" t="s">
        <v>8</v>
      </c>
      <c r="D777" s="1">
        <v>45414</v>
      </c>
      <c r="E777" t="s">
        <v>26</v>
      </c>
      <c r="F777" t="s">
        <v>10</v>
      </c>
      <c r="G777" t="s">
        <v>16</v>
      </c>
      <c r="H777">
        <v>20.93</v>
      </c>
      <c r="I777" t="str">
        <f t="shared" si="24"/>
        <v>May/2024</v>
      </c>
      <c r="J777">
        <f t="shared" si="25"/>
        <v>390816.02000000014</v>
      </c>
    </row>
    <row r="778" spans="1:10" hidden="1">
      <c r="A778">
        <v>777</v>
      </c>
      <c r="B778">
        <v>59</v>
      </c>
      <c r="C778" t="s">
        <v>12</v>
      </c>
      <c r="D778" s="1">
        <v>45443</v>
      </c>
      <c r="E778" t="s">
        <v>9</v>
      </c>
      <c r="F778" t="s">
        <v>21</v>
      </c>
      <c r="G778" t="s">
        <v>11</v>
      </c>
      <c r="H778">
        <v>698.16</v>
      </c>
      <c r="I778" t="str">
        <f t="shared" si="24"/>
        <v>May/2024</v>
      </c>
      <c r="J778">
        <f t="shared" si="25"/>
        <v>391514.18000000011</v>
      </c>
    </row>
    <row r="779" spans="1:10" hidden="1">
      <c r="A779">
        <v>778</v>
      </c>
      <c r="B779">
        <v>31</v>
      </c>
      <c r="C779" t="s">
        <v>12</v>
      </c>
      <c r="D779" s="1">
        <v>45307</v>
      </c>
      <c r="E779" t="s">
        <v>9</v>
      </c>
      <c r="F779" t="s">
        <v>18</v>
      </c>
      <c r="G779" t="s">
        <v>20</v>
      </c>
      <c r="H779">
        <v>270.7</v>
      </c>
      <c r="I779" t="str">
        <f t="shared" si="24"/>
        <v>Jan/2024</v>
      </c>
      <c r="J779">
        <f t="shared" si="25"/>
        <v>391784.88000000012</v>
      </c>
    </row>
    <row r="780" spans="1:10" hidden="1">
      <c r="A780">
        <v>779</v>
      </c>
      <c r="B780">
        <v>71</v>
      </c>
      <c r="C780" t="s">
        <v>8</v>
      </c>
      <c r="D780" s="1">
        <v>45375</v>
      </c>
      <c r="E780" t="s">
        <v>15</v>
      </c>
      <c r="F780" t="s">
        <v>18</v>
      </c>
      <c r="G780" t="s">
        <v>20</v>
      </c>
      <c r="H780">
        <v>733.76</v>
      </c>
      <c r="I780" t="str">
        <f t="shared" si="24"/>
        <v>Mar/2024</v>
      </c>
      <c r="J780">
        <f t="shared" si="25"/>
        <v>392518.64000000013</v>
      </c>
    </row>
    <row r="781" spans="1:10">
      <c r="A781">
        <v>780</v>
      </c>
      <c r="B781">
        <v>81</v>
      </c>
      <c r="C781" t="s">
        <v>12</v>
      </c>
      <c r="D781" s="1">
        <v>45327</v>
      </c>
      <c r="E781" t="s">
        <v>26</v>
      </c>
      <c r="F781" t="s">
        <v>10</v>
      </c>
      <c r="G781" t="s">
        <v>20</v>
      </c>
      <c r="H781">
        <v>918.81</v>
      </c>
      <c r="I781" t="str">
        <f t="shared" si="24"/>
        <v>Feb/2024</v>
      </c>
      <c r="J781">
        <f t="shared" si="25"/>
        <v>393437.45000000013</v>
      </c>
    </row>
    <row r="782" spans="1:10" hidden="1">
      <c r="A782">
        <v>781</v>
      </c>
      <c r="B782">
        <v>10</v>
      </c>
      <c r="C782" t="s">
        <v>19</v>
      </c>
      <c r="D782" s="1">
        <v>45442</v>
      </c>
      <c r="E782" t="s">
        <v>9</v>
      </c>
      <c r="F782" t="s">
        <v>10</v>
      </c>
      <c r="G782" t="s">
        <v>20</v>
      </c>
      <c r="H782">
        <v>830.39</v>
      </c>
      <c r="I782" t="str">
        <f t="shared" si="24"/>
        <v>May/2024</v>
      </c>
      <c r="J782">
        <f t="shared" si="25"/>
        <v>394267.84000000014</v>
      </c>
    </row>
    <row r="783" spans="1:10" hidden="1">
      <c r="A783">
        <v>782</v>
      </c>
      <c r="B783">
        <v>92</v>
      </c>
      <c r="C783" t="s">
        <v>12</v>
      </c>
      <c r="D783" s="1">
        <v>45386</v>
      </c>
      <c r="E783" t="s">
        <v>15</v>
      </c>
      <c r="F783" t="s">
        <v>21</v>
      </c>
      <c r="G783" t="s">
        <v>11</v>
      </c>
      <c r="H783">
        <v>429.08</v>
      </c>
      <c r="I783" t="str">
        <f t="shared" si="24"/>
        <v>Apr/2024</v>
      </c>
      <c r="J783">
        <f t="shared" si="25"/>
        <v>394696.92000000016</v>
      </c>
    </row>
    <row r="784" spans="1:10" hidden="1">
      <c r="A784">
        <v>783</v>
      </c>
      <c r="B784">
        <v>73</v>
      </c>
      <c r="C784" t="s">
        <v>19</v>
      </c>
      <c r="D784" s="1">
        <v>45391</v>
      </c>
      <c r="E784" t="s">
        <v>15</v>
      </c>
      <c r="F784" t="s">
        <v>21</v>
      </c>
      <c r="G784" t="s">
        <v>16</v>
      </c>
      <c r="H784">
        <v>800.91</v>
      </c>
      <c r="I784" t="str">
        <f t="shared" si="24"/>
        <v>Apr/2024</v>
      </c>
      <c r="J784">
        <f t="shared" si="25"/>
        <v>395497.83000000013</v>
      </c>
    </row>
    <row r="785" spans="1:10" hidden="1">
      <c r="A785">
        <v>784</v>
      </c>
      <c r="B785">
        <v>2</v>
      </c>
      <c r="C785" t="s">
        <v>12</v>
      </c>
      <c r="D785" s="1">
        <v>45381</v>
      </c>
      <c r="E785" t="s">
        <v>26</v>
      </c>
      <c r="F785" t="s">
        <v>21</v>
      </c>
      <c r="G785" t="s">
        <v>16</v>
      </c>
      <c r="H785">
        <v>36.5</v>
      </c>
      <c r="I785" t="str">
        <f t="shared" si="24"/>
        <v>Mar/2024</v>
      </c>
      <c r="J785">
        <f t="shared" si="25"/>
        <v>395534.33000000013</v>
      </c>
    </row>
    <row r="786" spans="1:10" hidden="1">
      <c r="A786">
        <v>785</v>
      </c>
      <c r="B786">
        <v>63</v>
      </c>
      <c r="C786" t="s">
        <v>19</v>
      </c>
      <c r="D786" s="1">
        <v>45389</v>
      </c>
      <c r="E786" t="s">
        <v>26</v>
      </c>
      <c r="F786" t="s">
        <v>21</v>
      </c>
      <c r="G786" t="s">
        <v>11</v>
      </c>
      <c r="H786">
        <v>861.84</v>
      </c>
      <c r="I786" t="str">
        <f t="shared" si="24"/>
        <v>Apr/2024</v>
      </c>
      <c r="J786">
        <f t="shared" si="25"/>
        <v>396396.17000000016</v>
      </c>
    </row>
    <row r="787" spans="1:10" hidden="1">
      <c r="A787">
        <v>786</v>
      </c>
      <c r="B787">
        <v>54</v>
      </c>
      <c r="C787" t="s">
        <v>19</v>
      </c>
      <c r="D787" s="1">
        <v>45467</v>
      </c>
      <c r="E787" t="s">
        <v>26</v>
      </c>
      <c r="F787" t="s">
        <v>10</v>
      </c>
      <c r="G787" t="s">
        <v>16</v>
      </c>
      <c r="H787">
        <v>947.21</v>
      </c>
      <c r="I787" t="str">
        <f t="shared" si="24"/>
        <v>Jun/2024</v>
      </c>
      <c r="J787">
        <f t="shared" si="25"/>
        <v>397343.38000000018</v>
      </c>
    </row>
    <row r="788" spans="1:10" hidden="1">
      <c r="A788">
        <v>787</v>
      </c>
      <c r="B788">
        <v>36</v>
      </c>
      <c r="C788" t="s">
        <v>12</v>
      </c>
      <c r="D788" s="1">
        <v>45314</v>
      </c>
      <c r="E788" t="s">
        <v>26</v>
      </c>
      <c r="F788" t="s">
        <v>10</v>
      </c>
      <c r="G788" t="s">
        <v>20</v>
      </c>
      <c r="H788">
        <v>37.44</v>
      </c>
      <c r="I788" t="str">
        <f t="shared" si="24"/>
        <v>Jan/2024</v>
      </c>
      <c r="J788">
        <f t="shared" si="25"/>
        <v>397380.82000000018</v>
      </c>
    </row>
    <row r="789" spans="1:10" hidden="1">
      <c r="A789">
        <v>788</v>
      </c>
      <c r="B789">
        <v>41</v>
      </c>
      <c r="C789" t="s">
        <v>8</v>
      </c>
      <c r="D789" s="1">
        <v>45316</v>
      </c>
      <c r="E789" t="s">
        <v>9</v>
      </c>
      <c r="F789" t="s">
        <v>18</v>
      </c>
      <c r="G789" t="s">
        <v>16</v>
      </c>
      <c r="H789">
        <v>571.65</v>
      </c>
      <c r="I789" t="str">
        <f t="shared" si="24"/>
        <v>Jan/2024</v>
      </c>
      <c r="J789">
        <f t="shared" si="25"/>
        <v>397952.4700000002</v>
      </c>
    </row>
    <row r="790" spans="1:10" hidden="1">
      <c r="A790">
        <v>789</v>
      </c>
      <c r="B790">
        <v>54</v>
      </c>
      <c r="C790" t="s">
        <v>8</v>
      </c>
      <c r="D790" s="1">
        <v>45312</v>
      </c>
      <c r="E790" t="s">
        <v>26</v>
      </c>
      <c r="F790" t="s">
        <v>10</v>
      </c>
      <c r="G790" t="s">
        <v>16</v>
      </c>
      <c r="H790">
        <v>331.32</v>
      </c>
      <c r="I790" t="str">
        <f t="shared" si="24"/>
        <v>Jan/2024</v>
      </c>
      <c r="J790">
        <f t="shared" si="25"/>
        <v>398283.79000000021</v>
      </c>
    </row>
    <row r="791" spans="1:10" hidden="1">
      <c r="A791">
        <v>790</v>
      </c>
      <c r="B791">
        <v>3</v>
      </c>
      <c r="C791" t="s">
        <v>8</v>
      </c>
      <c r="D791" s="1">
        <v>45361</v>
      </c>
      <c r="E791" t="s">
        <v>15</v>
      </c>
      <c r="F791" t="s">
        <v>18</v>
      </c>
      <c r="G791" t="s">
        <v>20</v>
      </c>
      <c r="H791">
        <v>212.4</v>
      </c>
      <c r="I791" t="str">
        <f t="shared" si="24"/>
        <v>Mar/2024</v>
      </c>
      <c r="J791">
        <f t="shared" si="25"/>
        <v>398496.19000000024</v>
      </c>
    </row>
    <row r="792" spans="1:10" hidden="1">
      <c r="A792">
        <v>791</v>
      </c>
      <c r="B792">
        <v>94</v>
      </c>
      <c r="C792" t="s">
        <v>12</v>
      </c>
      <c r="D792" s="1">
        <v>45397</v>
      </c>
      <c r="E792" t="s">
        <v>26</v>
      </c>
      <c r="F792" t="s">
        <v>10</v>
      </c>
      <c r="G792" t="s">
        <v>16</v>
      </c>
      <c r="H792">
        <v>451.46</v>
      </c>
      <c r="I792" t="str">
        <f t="shared" si="24"/>
        <v>Apr/2024</v>
      </c>
      <c r="J792">
        <f t="shared" si="25"/>
        <v>398947.65000000026</v>
      </c>
    </row>
    <row r="793" spans="1:10" hidden="1">
      <c r="A793">
        <v>792</v>
      </c>
      <c r="B793">
        <v>99</v>
      </c>
      <c r="C793" t="s">
        <v>12</v>
      </c>
      <c r="D793" s="1">
        <v>45356</v>
      </c>
      <c r="E793" t="s">
        <v>15</v>
      </c>
      <c r="F793" t="s">
        <v>10</v>
      </c>
      <c r="G793" t="s">
        <v>20</v>
      </c>
      <c r="H793">
        <v>948.05</v>
      </c>
      <c r="I793" t="str">
        <f t="shared" si="24"/>
        <v>Mar/2024</v>
      </c>
      <c r="J793">
        <f t="shared" si="25"/>
        <v>399895.70000000024</v>
      </c>
    </row>
    <row r="794" spans="1:10" hidden="1">
      <c r="A794">
        <v>793</v>
      </c>
      <c r="B794">
        <v>79</v>
      </c>
      <c r="C794" t="s">
        <v>12</v>
      </c>
      <c r="D794" s="1">
        <v>45419</v>
      </c>
      <c r="E794" t="s">
        <v>9</v>
      </c>
      <c r="F794" t="s">
        <v>21</v>
      </c>
      <c r="G794" t="s">
        <v>11</v>
      </c>
      <c r="H794">
        <v>111.39</v>
      </c>
      <c r="I794" t="str">
        <f t="shared" si="24"/>
        <v>May/2024</v>
      </c>
      <c r="J794">
        <f t="shared" si="25"/>
        <v>400007.09000000026</v>
      </c>
    </row>
    <row r="795" spans="1:10">
      <c r="A795">
        <v>794</v>
      </c>
      <c r="B795">
        <v>81</v>
      </c>
      <c r="C795" t="s">
        <v>8</v>
      </c>
      <c r="D795" s="1">
        <v>45372</v>
      </c>
      <c r="E795" t="s">
        <v>15</v>
      </c>
      <c r="F795" t="s">
        <v>18</v>
      </c>
      <c r="G795" t="s">
        <v>16</v>
      </c>
      <c r="H795">
        <v>281.41000000000003</v>
      </c>
      <c r="I795" t="str">
        <f t="shared" si="24"/>
        <v>Mar/2024</v>
      </c>
      <c r="J795">
        <f t="shared" si="25"/>
        <v>400288.50000000023</v>
      </c>
    </row>
    <row r="796" spans="1:10" hidden="1">
      <c r="A796">
        <v>795</v>
      </c>
      <c r="B796">
        <v>83</v>
      </c>
      <c r="C796" t="s">
        <v>8</v>
      </c>
      <c r="D796" s="1">
        <v>45359</v>
      </c>
      <c r="E796" t="s">
        <v>15</v>
      </c>
      <c r="F796" t="s">
        <v>10</v>
      </c>
      <c r="G796" t="s">
        <v>16</v>
      </c>
      <c r="H796">
        <v>866.14</v>
      </c>
      <c r="I796" t="str">
        <f t="shared" si="24"/>
        <v>Mar/2024</v>
      </c>
      <c r="J796">
        <f t="shared" si="25"/>
        <v>401154.64000000025</v>
      </c>
    </row>
    <row r="797" spans="1:10" hidden="1">
      <c r="A797">
        <v>796</v>
      </c>
      <c r="B797">
        <v>83</v>
      </c>
      <c r="C797" t="s">
        <v>8</v>
      </c>
      <c r="D797" s="1">
        <v>45420</v>
      </c>
      <c r="E797" t="s">
        <v>9</v>
      </c>
      <c r="F797" t="s">
        <v>10</v>
      </c>
      <c r="G797" t="s">
        <v>11</v>
      </c>
      <c r="H797">
        <v>545.23</v>
      </c>
      <c r="I797" t="str">
        <f t="shared" si="24"/>
        <v>May/2024</v>
      </c>
      <c r="J797">
        <f t="shared" si="25"/>
        <v>401699.87000000023</v>
      </c>
    </row>
    <row r="798" spans="1:10" hidden="1">
      <c r="A798">
        <v>797</v>
      </c>
      <c r="B798">
        <v>62</v>
      </c>
      <c r="C798" t="s">
        <v>19</v>
      </c>
      <c r="D798" s="1">
        <v>45452</v>
      </c>
      <c r="E798" t="s">
        <v>26</v>
      </c>
      <c r="F798" t="s">
        <v>21</v>
      </c>
      <c r="G798" t="s">
        <v>11</v>
      </c>
      <c r="H798">
        <v>545.72</v>
      </c>
      <c r="I798" t="str">
        <f t="shared" si="24"/>
        <v>Jun/2024</v>
      </c>
      <c r="J798">
        <f t="shared" si="25"/>
        <v>402245.5900000002</v>
      </c>
    </row>
    <row r="799" spans="1:10" hidden="1">
      <c r="A799">
        <v>798</v>
      </c>
      <c r="B799">
        <v>77</v>
      </c>
      <c r="C799" t="s">
        <v>12</v>
      </c>
      <c r="D799" s="1">
        <v>45422</v>
      </c>
      <c r="E799" t="s">
        <v>9</v>
      </c>
      <c r="F799" t="s">
        <v>18</v>
      </c>
      <c r="G799" t="s">
        <v>11</v>
      </c>
      <c r="H799">
        <v>395.56</v>
      </c>
      <c r="I799" t="str">
        <f t="shared" si="24"/>
        <v>May/2024</v>
      </c>
      <c r="J799">
        <f t="shared" si="25"/>
        <v>402641.1500000002</v>
      </c>
    </row>
    <row r="800" spans="1:10" hidden="1">
      <c r="A800">
        <v>799</v>
      </c>
      <c r="B800">
        <v>87</v>
      </c>
      <c r="C800" t="s">
        <v>8</v>
      </c>
      <c r="D800" s="1">
        <v>45451</v>
      </c>
      <c r="E800" t="s">
        <v>9</v>
      </c>
      <c r="F800" t="s">
        <v>21</v>
      </c>
      <c r="G800" t="s">
        <v>20</v>
      </c>
      <c r="H800">
        <v>914.5</v>
      </c>
      <c r="I800" t="str">
        <f t="shared" si="24"/>
        <v>Jun/2024</v>
      </c>
      <c r="J800">
        <f t="shared" si="25"/>
        <v>403555.6500000002</v>
      </c>
    </row>
    <row r="801" spans="1:10" hidden="1">
      <c r="A801">
        <v>800</v>
      </c>
      <c r="B801">
        <v>38</v>
      </c>
      <c r="C801" t="s">
        <v>19</v>
      </c>
      <c r="D801" s="1">
        <v>45442</v>
      </c>
      <c r="E801" t="s">
        <v>15</v>
      </c>
      <c r="F801" t="s">
        <v>10</v>
      </c>
      <c r="G801" t="s">
        <v>16</v>
      </c>
      <c r="H801">
        <v>339.94</v>
      </c>
      <c r="I801" t="str">
        <f t="shared" si="24"/>
        <v>May/2024</v>
      </c>
      <c r="J801">
        <f t="shared" si="25"/>
        <v>403895.5900000002</v>
      </c>
    </row>
    <row r="802" spans="1:10" hidden="1">
      <c r="A802">
        <v>801</v>
      </c>
      <c r="B802">
        <v>77</v>
      </c>
      <c r="C802" t="s">
        <v>19</v>
      </c>
      <c r="D802" s="1">
        <v>45369</v>
      </c>
      <c r="E802" t="s">
        <v>26</v>
      </c>
      <c r="F802" t="s">
        <v>21</v>
      </c>
      <c r="G802" t="s">
        <v>11</v>
      </c>
      <c r="H802">
        <v>206.92</v>
      </c>
      <c r="I802" t="str">
        <f t="shared" si="24"/>
        <v>Mar/2024</v>
      </c>
      <c r="J802">
        <f t="shared" si="25"/>
        <v>404102.51000000018</v>
      </c>
    </row>
    <row r="803" spans="1:10" hidden="1">
      <c r="A803">
        <v>802</v>
      </c>
      <c r="B803">
        <v>98</v>
      </c>
      <c r="C803" t="s">
        <v>12</v>
      </c>
      <c r="D803" s="1">
        <v>45368</v>
      </c>
      <c r="E803" t="s">
        <v>9</v>
      </c>
      <c r="F803" t="s">
        <v>21</v>
      </c>
      <c r="G803" t="s">
        <v>11</v>
      </c>
      <c r="H803">
        <v>336.29</v>
      </c>
      <c r="I803" t="str">
        <f t="shared" si="24"/>
        <v>Mar/2024</v>
      </c>
      <c r="J803">
        <f t="shared" si="25"/>
        <v>404438.80000000016</v>
      </c>
    </row>
    <row r="804" spans="1:10" hidden="1">
      <c r="A804">
        <v>803</v>
      </c>
      <c r="B804">
        <v>93</v>
      </c>
      <c r="C804" t="s">
        <v>8</v>
      </c>
      <c r="D804" s="1">
        <v>45299</v>
      </c>
      <c r="E804" t="s">
        <v>15</v>
      </c>
      <c r="F804" t="s">
        <v>18</v>
      </c>
      <c r="G804" t="s">
        <v>11</v>
      </c>
      <c r="H804">
        <v>911.03</v>
      </c>
      <c r="I804" t="str">
        <f t="shared" si="24"/>
        <v>Jan/2024</v>
      </c>
      <c r="J804">
        <f t="shared" si="25"/>
        <v>405349.83000000019</v>
      </c>
    </row>
    <row r="805" spans="1:10" hidden="1">
      <c r="A805">
        <v>804</v>
      </c>
      <c r="B805">
        <v>13</v>
      </c>
      <c r="C805" t="s">
        <v>8</v>
      </c>
      <c r="D805" s="1">
        <v>45297</v>
      </c>
      <c r="E805" t="s">
        <v>26</v>
      </c>
      <c r="F805" t="s">
        <v>10</v>
      </c>
      <c r="G805" t="s">
        <v>11</v>
      </c>
      <c r="H805">
        <v>720.18</v>
      </c>
      <c r="I805" t="str">
        <f t="shared" si="24"/>
        <v>Jan/2024</v>
      </c>
      <c r="J805">
        <f t="shared" si="25"/>
        <v>406070.01000000018</v>
      </c>
    </row>
    <row r="806" spans="1:10" hidden="1">
      <c r="A806">
        <v>805</v>
      </c>
      <c r="B806">
        <v>23</v>
      </c>
      <c r="C806" t="s">
        <v>12</v>
      </c>
      <c r="D806" s="1">
        <v>45399</v>
      </c>
      <c r="E806" t="s">
        <v>26</v>
      </c>
      <c r="F806" t="s">
        <v>21</v>
      </c>
      <c r="G806" t="s">
        <v>20</v>
      </c>
      <c r="H806">
        <v>602.51</v>
      </c>
      <c r="I806" t="str">
        <f t="shared" si="24"/>
        <v>Apr/2024</v>
      </c>
      <c r="J806">
        <f t="shared" si="25"/>
        <v>406672.52000000019</v>
      </c>
    </row>
    <row r="807" spans="1:10" hidden="1">
      <c r="A807">
        <v>806</v>
      </c>
      <c r="B807">
        <v>22</v>
      </c>
      <c r="C807" t="s">
        <v>12</v>
      </c>
      <c r="D807" s="1">
        <v>45390</v>
      </c>
      <c r="E807" t="s">
        <v>15</v>
      </c>
      <c r="F807" t="s">
        <v>18</v>
      </c>
      <c r="G807" t="s">
        <v>20</v>
      </c>
      <c r="H807">
        <v>996.6</v>
      </c>
      <c r="I807" t="str">
        <f t="shared" si="24"/>
        <v>Apr/2024</v>
      </c>
      <c r="J807">
        <f t="shared" si="25"/>
        <v>407669.12000000017</v>
      </c>
    </row>
    <row r="808" spans="1:10" hidden="1">
      <c r="A808">
        <v>807</v>
      </c>
      <c r="B808">
        <v>99</v>
      </c>
      <c r="C808" t="s">
        <v>19</v>
      </c>
      <c r="D808" s="1">
        <v>45319</v>
      </c>
      <c r="E808" t="s">
        <v>26</v>
      </c>
      <c r="F808" t="s">
        <v>10</v>
      </c>
      <c r="G808" t="s">
        <v>16</v>
      </c>
      <c r="H808">
        <v>373.64</v>
      </c>
      <c r="I808" t="str">
        <f t="shared" si="24"/>
        <v>Jan/2024</v>
      </c>
      <c r="J808">
        <f t="shared" si="25"/>
        <v>408042.76000000018</v>
      </c>
    </row>
    <row r="809" spans="1:10" hidden="1">
      <c r="A809">
        <v>808</v>
      </c>
      <c r="B809">
        <v>99</v>
      </c>
      <c r="C809" t="s">
        <v>19</v>
      </c>
      <c r="D809" s="1">
        <v>45381</v>
      </c>
      <c r="E809" t="s">
        <v>9</v>
      </c>
      <c r="F809" t="s">
        <v>10</v>
      </c>
      <c r="G809" t="s">
        <v>11</v>
      </c>
      <c r="H809">
        <v>792.57</v>
      </c>
      <c r="I809" t="str">
        <f t="shared" si="24"/>
        <v>Mar/2024</v>
      </c>
      <c r="J809">
        <f t="shared" si="25"/>
        <v>408835.33000000019</v>
      </c>
    </row>
    <row r="810" spans="1:10" hidden="1">
      <c r="A810">
        <v>809</v>
      </c>
      <c r="B810">
        <v>8</v>
      </c>
      <c r="C810" t="s">
        <v>8</v>
      </c>
      <c r="D810" s="1">
        <v>45370</v>
      </c>
      <c r="E810" t="s">
        <v>26</v>
      </c>
      <c r="F810" t="s">
        <v>10</v>
      </c>
      <c r="G810" t="s">
        <v>11</v>
      </c>
      <c r="H810">
        <v>956.44</v>
      </c>
      <c r="I810" t="str">
        <f t="shared" si="24"/>
        <v>Mar/2024</v>
      </c>
      <c r="J810">
        <f t="shared" si="25"/>
        <v>409791.77000000019</v>
      </c>
    </row>
    <row r="811" spans="1:10" hidden="1">
      <c r="A811">
        <v>810</v>
      </c>
      <c r="B811">
        <v>77</v>
      </c>
      <c r="C811" t="s">
        <v>12</v>
      </c>
      <c r="D811" s="1">
        <v>45473</v>
      </c>
      <c r="E811" t="s">
        <v>9</v>
      </c>
      <c r="F811" t="s">
        <v>18</v>
      </c>
      <c r="G811" t="s">
        <v>20</v>
      </c>
      <c r="H811">
        <v>916.1</v>
      </c>
      <c r="I811" t="str">
        <f t="shared" si="24"/>
        <v>Jun/2024</v>
      </c>
      <c r="J811">
        <f t="shared" si="25"/>
        <v>410707.87000000017</v>
      </c>
    </row>
    <row r="812" spans="1:10" hidden="1">
      <c r="A812">
        <v>811</v>
      </c>
      <c r="B812">
        <v>7</v>
      </c>
      <c r="C812" t="s">
        <v>12</v>
      </c>
      <c r="D812" s="1">
        <v>45427</v>
      </c>
      <c r="E812" t="s">
        <v>26</v>
      </c>
      <c r="F812" t="s">
        <v>21</v>
      </c>
      <c r="G812" t="s">
        <v>11</v>
      </c>
      <c r="H812">
        <v>93.31</v>
      </c>
      <c r="I812" t="str">
        <f t="shared" si="24"/>
        <v>May/2024</v>
      </c>
      <c r="J812">
        <f t="shared" si="25"/>
        <v>410801.18000000017</v>
      </c>
    </row>
    <row r="813" spans="1:10" hidden="1">
      <c r="A813">
        <v>812</v>
      </c>
      <c r="B813">
        <v>76</v>
      </c>
      <c r="C813" t="s">
        <v>8</v>
      </c>
      <c r="D813" s="1">
        <v>45369</v>
      </c>
      <c r="E813" t="s">
        <v>15</v>
      </c>
      <c r="F813" t="s">
        <v>18</v>
      </c>
      <c r="G813" t="s">
        <v>16</v>
      </c>
      <c r="H813">
        <v>576.28</v>
      </c>
      <c r="I813" t="str">
        <f t="shared" si="24"/>
        <v>Mar/2024</v>
      </c>
      <c r="J813">
        <f t="shared" si="25"/>
        <v>411377.4600000002</v>
      </c>
    </row>
    <row r="814" spans="1:10" hidden="1">
      <c r="A814">
        <v>813</v>
      </c>
      <c r="B814">
        <v>93</v>
      </c>
      <c r="C814" t="s">
        <v>12</v>
      </c>
      <c r="D814" s="1">
        <v>45418</v>
      </c>
      <c r="E814" t="s">
        <v>26</v>
      </c>
      <c r="F814" t="s">
        <v>10</v>
      </c>
      <c r="G814" t="s">
        <v>11</v>
      </c>
      <c r="H814">
        <v>89.52</v>
      </c>
      <c r="I814" t="str">
        <f t="shared" si="24"/>
        <v>May/2024</v>
      </c>
      <c r="J814">
        <f t="shared" si="25"/>
        <v>411466.98000000021</v>
      </c>
    </row>
    <row r="815" spans="1:10" hidden="1">
      <c r="A815">
        <v>814</v>
      </c>
      <c r="B815">
        <v>79</v>
      </c>
      <c r="C815" t="s">
        <v>8</v>
      </c>
      <c r="D815" s="1">
        <v>45297</v>
      </c>
      <c r="E815" t="s">
        <v>9</v>
      </c>
      <c r="F815" t="s">
        <v>10</v>
      </c>
      <c r="G815" t="s">
        <v>20</v>
      </c>
      <c r="H815">
        <v>381.12</v>
      </c>
      <c r="I815" t="str">
        <f t="shared" si="24"/>
        <v>Jan/2024</v>
      </c>
      <c r="J815">
        <f t="shared" si="25"/>
        <v>411848.10000000021</v>
      </c>
    </row>
    <row r="816" spans="1:10" hidden="1">
      <c r="A816">
        <v>815</v>
      </c>
      <c r="B816">
        <v>65</v>
      </c>
      <c r="C816" t="s">
        <v>8</v>
      </c>
      <c r="D816" s="1">
        <v>45464</v>
      </c>
      <c r="E816" t="s">
        <v>26</v>
      </c>
      <c r="F816" t="s">
        <v>21</v>
      </c>
      <c r="G816" t="s">
        <v>11</v>
      </c>
      <c r="H816">
        <v>686.02</v>
      </c>
      <c r="I816" t="str">
        <f t="shared" si="24"/>
        <v>Jun/2024</v>
      </c>
      <c r="J816">
        <f t="shared" si="25"/>
        <v>412534.12000000023</v>
      </c>
    </row>
    <row r="817" spans="1:10" hidden="1">
      <c r="A817">
        <v>816</v>
      </c>
      <c r="B817">
        <v>43</v>
      </c>
      <c r="C817" t="s">
        <v>12</v>
      </c>
      <c r="D817" s="1">
        <v>45368</v>
      </c>
      <c r="E817" t="s">
        <v>26</v>
      </c>
      <c r="F817" t="s">
        <v>10</v>
      </c>
      <c r="G817" t="s">
        <v>20</v>
      </c>
      <c r="H817">
        <v>585.80999999999995</v>
      </c>
      <c r="I817" t="str">
        <f t="shared" si="24"/>
        <v>Mar/2024</v>
      </c>
      <c r="J817">
        <f t="shared" si="25"/>
        <v>413119.93000000023</v>
      </c>
    </row>
    <row r="818" spans="1:10" hidden="1">
      <c r="A818">
        <v>817</v>
      </c>
      <c r="B818">
        <v>96</v>
      </c>
      <c r="C818" t="s">
        <v>8</v>
      </c>
      <c r="D818" s="1">
        <v>45382</v>
      </c>
      <c r="E818" t="s">
        <v>15</v>
      </c>
      <c r="F818" t="s">
        <v>18</v>
      </c>
      <c r="G818" t="s">
        <v>16</v>
      </c>
      <c r="H818">
        <v>28.26</v>
      </c>
      <c r="I818" t="str">
        <f t="shared" si="24"/>
        <v>Mar/2024</v>
      </c>
      <c r="J818">
        <f t="shared" si="25"/>
        <v>413148.19000000024</v>
      </c>
    </row>
    <row r="819" spans="1:10" hidden="1">
      <c r="A819">
        <v>818</v>
      </c>
      <c r="B819">
        <v>82</v>
      </c>
      <c r="C819" t="s">
        <v>12</v>
      </c>
      <c r="D819" s="1">
        <v>45357</v>
      </c>
      <c r="E819" t="s">
        <v>9</v>
      </c>
      <c r="F819" t="s">
        <v>18</v>
      </c>
      <c r="G819" t="s">
        <v>11</v>
      </c>
      <c r="H819">
        <v>858.99</v>
      </c>
      <c r="I819" t="str">
        <f t="shared" si="24"/>
        <v>Mar/2024</v>
      </c>
      <c r="J819">
        <f t="shared" si="25"/>
        <v>414007.18000000023</v>
      </c>
    </row>
    <row r="820" spans="1:10" hidden="1">
      <c r="A820">
        <v>819</v>
      </c>
      <c r="B820">
        <v>63</v>
      </c>
      <c r="C820" t="s">
        <v>19</v>
      </c>
      <c r="D820" s="1">
        <v>45350</v>
      </c>
      <c r="E820" t="s">
        <v>26</v>
      </c>
      <c r="F820" t="s">
        <v>18</v>
      </c>
      <c r="G820" t="s">
        <v>16</v>
      </c>
      <c r="H820">
        <v>373.68</v>
      </c>
      <c r="I820" t="str">
        <f t="shared" si="24"/>
        <v>Feb/2024</v>
      </c>
      <c r="J820">
        <f t="shared" si="25"/>
        <v>414380.86000000022</v>
      </c>
    </row>
    <row r="821" spans="1:10" hidden="1">
      <c r="A821">
        <v>820</v>
      </c>
      <c r="B821">
        <v>61</v>
      </c>
      <c r="C821" t="s">
        <v>12</v>
      </c>
      <c r="D821" s="1">
        <v>45341</v>
      </c>
      <c r="E821" t="s">
        <v>9</v>
      </c>
      <c r="F821" t="s">
        <v>18</v>
      </c>
      <c r="G821" t="s">
        <v>20</v>
      </c>
      <c r="H821">
        <v>937.41</v>
      </c>
      <c r="I821" t="str">
        <f t="shared" si="24"/>
        <v>Feb/2024</v>
      </c>
      <c r="J821">
        <f t="shared" si="25"/>
        <v>415318.27000000019</v>
      </c>
    </row>
    <row r="822" spans="1:10" hidden="1">
      <c r="A822">
        <v>821</v>
      </c>
      <c r="B822">
        <v>65</v>
      </c>
      <c r="C822" t="s">
        <v>19</v>
      </c>
      <c r="D822" s="1">
        <v>45333</v>
      </c>
      <c r="E822" t="s">
        <v>26</v>
      </c>
      <c r="F822" t="s">
        <v>21</v>
      </c>
      <c r="G822" t="s">
        <v>11</v>
      </c>
      <c r="H822">
        <v>960.72</v>
      </c>
      <c r="I822" t="str">
        <f t="shared" si="24"/>
        <v>Feb/2024</v>
      </c>
      <c r="J822">
        <f t="shared" si="25"/>
        <v>416278.99000000017</v>
      </c>
    </row>
    <row r="823" spans="1:10" hidden="1">
      <c r="A823">
        <v>822</v>
      </c>
      <c r="B823">
        <v>41</v>
      </c>
      <c r="C823" t="s">
        <v>12</v>
      </c>
      <c r="D823" s="1">
        <v>45347</v>
      </c>
      <c r="E823" t="s">
        <v>9</v>
      </c>
      <c r="F823" t="s">
        <v>21</v>
      </c>
      <c r="G823" t="s">
        <v>20</v>
      </c>
      <c r="H823">
        <v>988.9</v>
      </c>
      <c r="I823" t="str">
        <f t="shared" si="24"/>
        <v>Feb/2024</v>
      </c>
      <c r="J823">
        <f t="shared" si="25"/>
        <v>417267.89000000019</v>
      </c>
    </row>
    <row r="824" spans="1:10" hidden="1">
      <c r="A824">
        <v>823</v>
      </c>
      <c r="B824">
        <v>88</v>
      </c>
      <c r="C824" t="s">
        <v>19</v>
      </c>
      <c r="D824" s="1">
        <v>45320</v>
      </c>
      <c r="E824" t="s">
        <v>15</v>
      </c>
      <c r="F824" t="s">
        <v>10</v>
      </c>
      <c r="G824" t="s">
        <v>16</v>
      </c>
      <c r="H824">
        <v>890.34</v>
      </c>
      <c r="I824" t="str">
        <f t="shared" si="24"/>
        <v>Jan/2024</v>
      </c>
      <c r="J824">
        <f t="shared" si="25"/>
        <v>418158.23000000021</v>
      </c>
    </row>
    <row r="825" spans="1:10" hidden="1">
      <c r="A825">
        <v>824</v>
      </c>
      <c r="B825">
        <v>45</v>
      </c>
      <c r="C825" t="s">
        <v>8</v>
      </c>
      <c r="D825" s="1">
        <v>45335</v>
      </c>
      <c r="E825" t="s">
        <v>9</v>
      </c>
      <c r="F825" t="s">
        <v>10</v>
      </c>
      <c r="G825" t="s">
        <v>16</v>
      </c>
      <c r="H825">
        <v>838.89</v>
      </c>
      <c r="I825" t="str">
        <f t="shared" si="24"/>
        <v>Feb/2024</v>
      </c>
      <c r="J825">
        <f t="shared" si="25"/>
        <v>418997.12000000023</v>
      </c>
    </row>
    <row r="826" spans="1:10" hidden="1">
      <c r="A826">
        <v>825</v>
      </c>
      <c r="B826">
        <v>26</v>
      </c>
      <c r="C826" t="s">
        <v>12</v>
      </c>
      <c r="D826" s="1">
        <v>45317</v>
      </c>
      <c r="E826" t="s">
        <v>9</v>
      </c>
      <c r="F826" t="s">
        <v>21</v>
      </c>
      <c r="G826" t="s">
        <v>16</v>
      </c>
      <c r="H826">
        <v>90.18</v>
      </c>
      <c r="I826" t="str">
        <f t="shared" si="24"/>
        <v>Jan/2024</v>
      </c>
      <c r="J826">
        <f t="shared" si="25"/>
        <v>419087.30000000022</v>
      </c>
    </row>
    <row r="827" spans="1:10" hidden="1">
      <c r="A827">
        <v>826</v>
      </c>
      <c r="B827">
        <v>8</v>
      </c>
      <c r="C827" t="s">
        <v>19</v>
      </c>
      <c r="D827" s="1">
        <v>45317</v>
      </c>
      <c r="E827" t="s">
        <v>9</v>
      </c>
      <c r="F827" t="s">
        <v>10</v>
      </c>
      <c r="G827" t="s">
        <v>20</v>
      </c>
      <c r="H827">
        <v>693.38</v>
      </c>
      <c r="I827" t="str">
        <f t="shared" si="24"/>
        <v>Jan/2024</v>
      </c>
      <c r="J827">
        <f t="shared" si="25"/>
        <v>419780.68000000023</v>
      </c>
    </row>
    <row r="828" spans="1:10" hidden="1">
      <c r="A828">
        <v>827</v>
      </c>
      <c r="B828">
        <v>96</v>
      </c>
      <c r="C828" t="s">
        <v>19</v>
      </c>
      <c r="D828" s="1">
        <v>45310</v>
      </c>
      <c r="E828" t="s">
        <v>9</v>
      </c>
      <c r="F828" t="s">
        <v>10</v>
      </c>
      <c r="G828" t="s">
        <v>20</v>
      </c>
      <c r="H828">
        <v>904.55</v>
      </c>
      <c r="I828" t="str">
        <f t="shared" si="24"/>
        <v>Jan/2024</v>
      </c>
      <c r="J828">
        <f t="shared" si="25"/>
        <v>420685.23000000021</v>
      </c>
    </row>
    <row r="829" spans="1:10" hidden="1">
      <c r="A829">
        <v>828</v>
      </c>
      <c r="B829">
        <v>25</v>
      </c>
      <c r="C829" t="s">
        <v>12</v>
      </c>
      <c r="D829" s="1">
        <v>45424</v>
      </c>
      <c r="E829" t="s">
        <v>26</v>
      </c>
      <c r="F829" t="s">
        <v>18</v>
      </c>
      <c r="G829" t="s">
        <v>20</v>
      </c>
      <c r="H829">
        <v>446.66</v>
      </c>
      <c r="I829" t="str">
        <f t="shared" si="24"/>
        <v>May/2024</v>
      </c>
      <c r="J829">
        <f t="shared" si="25"/>
        <v>421131.89000000019</v>
      </c>
    </row>
    <row r="830" spans="1:10" hidden="1">
      <c r="A830">
        <v>829</v>
      </c>
      <c r="B830">
        <v>90</v>
      </c>
      <c r="C830" t="s">
        <v>19</v>
      </c>
      <c r="D830" s="1">
        <v>45334</v>
      </c>
      <c r="E830" t="s">
        <v>15</v>
      </c>
      <c r="F830" t="s">
        <v>18</v>
      </c>
      <c r="G830" t="s">
        <v>16</v>
      </c>
      <c r="H830">
        <v>561.22</v>
      </c>
      <c r="I830" t="str">
        <f t="shared" si="24"/>
        <v>Feb/2024</v>
      </c>
      <c r="J830">
        <f t="shared" si="25"/>
        <v>421693.11000000016</v>
      </c>
    </row>
    <row r="831" spans="1:10" hidden="1">
      <c r="A831">
        <v>830</v>
      </c>
      <c r="B831">
        <v>62</v>
      </c>
      <c r="C831" t="s">
        <v>19</v>
      </c>
      <c r="D831" s="1">
        <v>45394</v>
      </c>
      <c r="E831" t="s">
        <v>26</v>
      </c>
      <c r="F831" t="s">
        <v>21</v>
      </c>
      <c r="G831" t="s">
        <v>11</v>
      </c>
      <c r="H831">
        <v>227.29</v>
      </c>
      <c r="I831" t="str">
        <f t="shared" si="24"/>
        <v>Apr/2024</v>
      </c>
      <c r="J831">
        <f t="shared" si="25"/>
        <v>421920.40000000014</v>
      </c>
    </row>
    <row r="832" spans="1:10" hidden="1">
      <c r="A832">
        <v>831</v>
      </c>
      <c r="B832">
        <v>57</v>
      </c>
      <c r="C832" t="s">
        <v>8</v>
      </c>
      <c r="D832" s="1">
        <v>45406</v>
      </c>
      <c r="E832" t="s">
        <v>15</v>
      </c>
      <c r="F832" t="s">
        <v>18</v>
      </c>
      <c r="G832" t="s">
        <v>20</v>
      </c>
      <c r="H832">
        <v>129.15</v>
      </c>
      <c r="I832" t="str">
        <f t="shared" si="24"/>
        <v>Apr/2024</v>
      </c>
      <c r="J832">
        <f t="shared" si="25"/>
        <v>422049.55000000016</v>
      </c>
    </row>
    <row r="833" spans="1:10" hidden="1">
      <c r="A833">
        <v>832</v>
      </c>
      <c r="B833">
        <v>37</v>
      </c>
      <c r="C833" t="s">
        <v>19</v>
      </c>
      <c r="D833" s="1">
        <v>45445</v>
      </c>
      <c r="E833" t="s">
        <v>26</v>
      </c>
      <c r="F833" t="s">
        <v>18</v>
      </c>
      <c r="G833" t="s">
        <v>16</v>
      </c>
      <c r="H833">
        <v>105.91</v>
      </c>
      <c r="I833" t="str">
        <f t="shared" si="24"/>
        <v>Jun/2024</v>
      </c>
      <c r="J833">
        <f t="shared" si="25"/>
        <v>422155.46000000014</v>
      </c>
    </row>
    <row r="834" spans="1:10" hidden="1">
      <c r="A834">
        <v>833</v>
      </c>
      <c r="B834">
        <v>90</v>
      </c>
      <c r="C834" t="s">
        <v>19</v>
      </c>
      <c r="D834" s="1">
        <v>45337</v>
      </c>
      <c r="E834" t="s">
        <v>9</v>
      </c>
      <c r="F834" t="s">
        <v>10</v>
      </c>
      <c r="G834" t="s">
        <v>11</v>
      </c>
      <c r="H834">
        <v>833.94</v>
      </c>
      <c r="I834" t="str">
        <f t="shared" si="24"/>
        <v>Feb/2024</v>
      </c>
      <c r="J834">
        <f t="shared" si="25"/>
        <v>422989.40000000014</v>
      </c>
    </row>
    <row r="835" spans="1:10" hidden="1">
      <c r="A835">
        <v>834</v>
      </c>
      <c r="B835">
        <v>4</v>
      </c>
      <c r="C835" t="s">
        <v>8</v>
      </c>
      <c r="D835" s="1">
        <v>45391</v>
      </c>
      <c r="E835" t="s">
        <v>15</v>
      </c>
      <c r="F835" t="s">
        <v>21</v>
      </c>
      <c r="G835" t="s">
        <v>16</v>
      </c>
      <c r="H835">
        <v>10.55</v>
      </c>
      <c r="I835" t="str">
        <f t="shared" ref="I835:I898" si="26">TEXT(D835,"mmm/yyyy")</f>
        <v>Apr/2024</v>
      </c>
      <c r="J835">
        <f t="shared" si="25"/>
        <v>422999.95000000013</v>
      </c>
    </row>
    <row r="836" spans="1:10" hidden="1">
      <c r="A836">
        <v>835</v>
      </c>
      <c r="B836">
        <v>69</v>
      </c>
      <c r="C836" t="s">
        <v>12</v>
      </c>
      <c r="D836" s="1">
        <v>45293</v>
      </c>
      <c r="E836" t="s">
        <v>26</v>
      </c>
      <c r="F836" t="s">
        <v>18</v>
      </c>
      <c r="G836" t="s">
        <v>16</v>
      </c>
      <c r="H836">
        <v>744.8</v>
      </c>
      <c r="I836" t="str">
        <f t="shared" si="26"/>
        <v>Jan/2024</v>
      </c>
      <c r="J836">
        <f t="shared" ref="J836:J899" si="27">J835+H836</f>
        <v>423744.75000000012</v>
      </c>
    </row>
    <row r="837" spans="1:10" hidden="1">
      <c r="A837">
        <v>836</v>
      </c>
      <c r="B837">
        <v>95</v>
      </c>
      <c r="C837" t="s">
        <v>8</v>
      </c>
      <c r="D837" s="1">
        <v>45420</v>
      </c>
      <c r="E837" t="s">
        <v>26</v>
      </c>
      <c r="F837" t="s">
        <v>18</v>
      </c>
      <c r="G837" t="s">
        <v>16</v>
      </c>
      <c r="H837">
        <v>114.02</v>
      </c>
      <c r="I837" t="str">
        <f t="shared" si="26"/>
        <v>May/2024</v>
      </c>
      <c r="J837">
        <f t="shared" si="27"/>
        <v>423858.77000000014</v>
      </c>
    </row>
    <row r="838" spans="1:10" hidden="1">
      <c r="A838">
        <v>837</v>
      </c>
      <c r="B838">
        <v>30</v>
      </c>
      <c r="C838" t="s">
        <v>12</v>
      </c>
      <c r="D838" s="1">
        <v>45361</v>
      </c>
      <c r="E838" t="s">
        <v>26</v>
      </c>
      <c r="F838" t="s">
        <v>10</v>
      </c>
      <c r="G838" t="s">
        <v>20</v>
      </c>
      <c r="H838">
        <v>113.95</v>
      </c>
      <c r="I838" t="str">
        <f t="shared" si="26"/>
        <v>Mar/2024</v>
      </c>
      <c r="J838">
        <f t="shared" si="27"/>
        <v>423972.72000000015</v>
      </c>
    </row>
    <row r="839" spans="1:10" hidden="1">
      <c r="A839">
        <v>838</v>
      </c>
      <c r="B839">
        <v>76</v>
      </c>
      <c r="C839" t="s">
        <v>8</v>
      </c>
      <c r="D839" s="1">
        <v>45457</v>
      </c>
      <c r="E839" t="s">
        <v>26</v>
      </c>
      <c r="F839" t="s">
        <v>18</v>
      </c>
      <c r="G839" t="s">
        <v>16</v>
      </c>
      <c r="H839">
        <v>390.19</v>
      </c>
      <c r="I839" t="str">
        <f t="shared" si="26"/>
        <v>Jun/2024</v>
      </c>
      <c r="J839">
        <f t="shared" si="27"/>
        <v>424362.91000000015</v>
      </c>
    </row>
    <row r="840" spans="1:10" hidden="1">
      <c r="A840">
        <v>839</v>
      </c>
      <c r="B840">
        <v>26</v>
      </c>
      <c r="C840" t="s">
        <v>19</v>
      </c>
      <c r="D840" s="1">
        <v>45423</v>
      </c>
      <c r="E840" t="s">
        <v>26</v>
      </c>
      <c r="F840" t="s">
        <v>18</v>
      </c>
      <c r="G840" t="s">
        <v>16</v>
      </c>
      <c r="H840">
        <v>418.17</v>
      </c>
      <c r="I840" t="str">
        <f t="shared" si="26"/>
        <v>May/2024</v>
      </c>
      <c r="J840">
        <f t="shared" si="27"/>
        <v>424781.08000000013</v>
      </c>
    </row>
    <row r="841" spans="1:10" hidden="1">
      <c r="A841">
        <v>840</v>
      </c>
      <c r="B841">
        <v>95</v>
      </c>
      <c r="C841" t="s">
        <v>8</v>
      </c>
      <c r="D841" s="1">
        <v>45338</v>
      </c>
      <c r="E841" t="s">
        <v>26</v>
      </c>
      <c r="F841" t="s">
        <v>21</v>
      </c>
      <c r="G841" t="s">
        <v>16</v>
      </c>
      <c r="H841">
        <v>536.08000000000004</v>
      </c>
      <c r="I841" t="str">
        <f t="shared" si="26"/>
        <v>Feb/2024</v>
      </c>
      <c r="J841">
        <f t="shared" si="27"/>
        <v>425317.16000000015</v>
      </c>
    </row>
    <row r="842" spans="1:10" hidden="1">
      <c r="A842">
        <v>841</v>
      </c>
      <c r="B842">
        <v>49</v>
      </c>
      <c r="C842" t="s">
        <v>8</v>
      </c>
      <c r="D842" s="1">
        <v>45316</v>
      </c>
      <c r="E842" t="s">
        <v>9</v>
      </c>
      <c r="F842" t="s">
        <v>10</v>
      </c>
      <c r="G842" t="s">
        <v>20</v>
      </c>
      <c r="H842">
        <v>857.55</v>
      </c>
      <c r="I842" t="str">
        <f t="shared" si="26"/>
        <v>Jan/2024</v>
      </c>
      <c r="J842">
        <f t="shared" si="27"/>
        <v>426174.71000000014</v>
      </c>
    </row>
    <row r="843" spans="1:10" hidden="1">
      <c r="A843">
        <v>842</v>
      </c>
      <c r="B843">
        <v>32</v>
      </c>
      <c r="C843" t="s">
        <v>12</v>
      </c>
      <c r="D843" s="1">
        <v>45304</v>
      </c>
      <c r="E843" t="s">
        <v>26</v>
      </c>
      <c r="F843" t="s">
        <v>10</v>
      </c>
      <c r="G843" t="s">
        <v>16</v>
      </c>
      <c r="H843">
        <v>800.23</v>
      </c>
      <c r="I843" t="str">
        <f t="shared" si="26"/>
        <v>Jan/2024</v>
      </c>
      <c r="J843">
        <f t="shared" si="27"/>
        <v>426974.94000000012</v>
      </c>
    </row>
    <row r="844" spans="1:10" hidden="1">
      <c r="A844">
        <v>843</v>
      </c>
      <c r="B844">
        <v>97</v>
      </c>
      <c r="C844" t="s">
        <v>12</v>
      </c>
      <c r="D844" s="1">
        <v>45412</v>
      </c>
      <c r="E844" t="s">
        <v>26</v>
      </c>
      <c r="F844" t="s">
        <v>21</v>
      </c>
      <c r="G844" t="s">
        <v>11</v>
      </c>
      <c r="H844">
        <v>526.92999999999995</v>
      </c>
      <c r="I844" t="str">
        <f t="shared" si="26"/>
        <v>Apr/2024</v>
      </c>
      <c r="J844">
        <f t="shared" si="27"/>
        <v>427501.87000000011</v>
      </c>
    </row>
    <row r="845" spans="1:10" hidden="1">
      <c r="A845">
        <v>844</v>
      </c>
      <c r="B845">
        <v>83</v>
      </c>
      <c r="C845" t="s">
        <v>8</v>
      </c>
      <c r="D845" s="1">
        <v>45340</v>
      </c>
      <c r="E845" t="s">
        <v>9</v>
      </c>
      <c r="F845" t="s">
        <v>18</v>
      </c>
      <c r="G845" t="s">
        <v>16</v>
      </c>
      <c r="H845">
        <v>97.57</v>
      </c>
      <c r="I845" t="str">
        <f t="shared" si="26"/>
        <v>Feb/2024</v>
      </c>
      <c r="J845">
        <f t="shared" si="27"/>
        <v>427599.44000000012</v>
      </c>
    </row>
    <row r="846" spans="1:10" hidden="1">
      <c r="A846">
        <v>845</v>
      </c>
      <c r="B846">
        <v>50</v>
      </c>
      <c r="C846" t="s">
        <v>19</v>
      </c>
      <c r="D846" s="1">
        <v>45349</v>
      </c>
      <c r="E846" t="s">
        <v>9</v>
      </c>
      <c r="F846" t="s">
        <v>21</v>
      </c>
      <c r="G846" t="s">
        <v>16</v>
      </c>
      <c r="H846">
        <v>438.29</v>
      </c>
      <c r="I846" t="str">
        <f t="shared" si="26"/>
        <v>Feb/2024</v>
      </c>
      <c r="J846">
        <f t="shared" si="27"/>
        <v>428037.7300000001</v>
      </c>
    </row>
    <row r="847" spans="1:10" hidden="1">
      <c r="A847">
        <v>846</v>
      </c>
      <c r="B847">
        <v>48</v>
      </c>
      <c r="C847" t="s">
        <v>8</v>
      </c>
      <c r="D847" s="1">
        <v>45468</v>
      </c>
      <c r="E847" t="s">
        <v>15</v>
      </c>
      <c r="F847" t="s">
        <v>10</v>
      </c>
      <c r="G847" t="s">
        <v>20</v>
      </c>
      <c r="H847">
        <v>937.74</v>
      </c>
      <c r="I847" t="str">
        <f t="shared" si="26"/>
        <v>Jun/2024</v>
      </c>
      <c r="J847">
        <f t="shared" si="27"/>
        <v>428975.47000000009</v>
      </c>
    </row>
    <row r="848" spans="1:10" hidden="1">
      <c r="A848">
        <v>847</v>
      </c>
      <c r="B848">
        <v>33</v>
      </c>
      <c r="C848" t="s">
        <v>12</v>
      </c>
      <c r="D848" s="1">
        <v>45465</v>
      </c>
      <c r="E848" t="s">
        <v>9</v>
      </c>
      <c r="F848" t="s">
        <v>21</v>
      </c>
      <c r="G848" t="s">
        <v>11</v>
      </c>
      <c r="H848">
        <v>261.19</v>
      </c>
      <c r="I848" t="str">
        <f t="shared" si="26"/>
        <v>Jun/2024</v>
      </c>
      <c r="J848">
        <f t="shared" si="27"/>
        <v>429236.66000000009</v>
      </c>
    </row>
    <row r="849" spans="1:10" hidden="1">
      <c r="A849">
        <v>848</v>
      </c>
      <c r="B849">
        <v>28</v>
      </c>
      <c r="C849" t="s">
        <v>12</v>
      </c>
      <c r="D849" s="1">
        <v>45413</v>
      </c>
      <c r="E849" t="s">
        <v>9</v>
      </c>
      <c r="F849" t="s">
        <v>18</v>
      </c>
      <c r="G849" t="s">
        <v>11</v>
      </c>
      <c r="H849">
        <v>155.84</v>
      </c>
      <c r="I849" t="str">
        <f t="shared" si="26"/>
        <v>May/2024</v>
      </c>
      <c r="J849">
        <f t="shared" si="27"/>
        <v>429392.50000000012</v>
      </c>
    </row>
    <row r="850" spans="1:10" hidden="1">
      <c r="A850">
        <v>849</v>
      </c>
      <c r="B850">
        <v>100</v>
      </c>
      <c r="C850" t="s">
        <v>19</v>
      </c>
      <c r="D850" s="1">
        <v>45444</v>
      </c>
      <c r="E850" t="s">
        <v>9</v>
      </c>
      <c r="F850" t="s">
        <v>18</v>
      </c>
      <c r="G850" t="s">
        <v>11</v>
      </c>
      <c r="H850">
        <v>761.38</v>
      </c>
      <c r="I850" t="str">
        <f t="shared" si="26"/>
        <v>Jun/2024</v>
      </c>
      <c r="J850">
        <f t="shared" si="27"/>
        <v>430153.88000000012</v>
      </c>
    </row>
    <row r="851" spans="1:10" hidden="1">
      <c r="A851">
        <v>850</v>
      </c>
      <c r="B851">
        <v>10</v>
      </c>
      <c r="C851" t="s">
        <v>8</v>
      </c>
      <c r="D851" s="1">
        <v>45467</v>
      </c>
      <c r="E851" t="s">
        <v>9</v>
      </c>
      <c r="F851" t="s">
        <v>21</v>
      </c>
      <c r="G851" t="s">
        <v>16</v>
      </c>
      <c r="H851">
        <v>693.41</v>
      </c>
      <c r="I851" t="str">
        <f t="shared" si="26"/>
        <v>Jun/2024</v>
      </c>
      <c r="J851">
        <f t="shared" si="27"/>
        <v>430847.2900000001</v>
      </c>
    </row>
    <row r="852" spans="1:10" hidden="1">
      <c r="A852">
        <v>851</v>
      </c>
      <c r="B852">
        <v>95</v>
      </c>
      <c r="C852" t="s">
        <v>12</v>
      </c>
      <c r="D852" s="1">
        <v>45371</v>
      </c>
      <c r="E852" t="s">
        <v>9</v>
      </c>
      <c r="F852" t="s">
        <v>21</v>
      </c>
      <c r="G852" t="s">
        <v>16</v>
      </c>
      <c r="H852">
        <v>319.06</v>
      </c>
      <c r="I852" t="str">
        <f t="shared" si="26"/>
        <v>Mar/2024</v>
      </c>
      <c r="J852">
        <f t="shared" si="27"/>
        <v>431166.35000000009</v>
      </c>
    </row>
    <row r="853" spans="1:10" hidden="1">
      <c r="A853">
        <v>852</v>
      </c>
      <c r="B853">
        <v>7</v>
      </c>
      <c r="C853" t="s">
        <v>12</v>
      </c>
      <c r="D853" s="1">
        <v>45353</v>
      </c>
      <c r="E853" t="s">
        <v>15</v>
      </c>
      <c r="F853" t="s">
        <v>21</v>
      </c>
      <c r="G853" t="s">
        <v>11</v>
      </c>
      <c r="H853">
        <v>451.5</v>
      </c>
      <c r="I853" t="str">
        <f t="shared" si="26"/>
        <v>Mar/2024</v>
      </c>
      <c r="J853">
        <f t="shared" si="27"/>
        <v>431617.85000000009</v>
      </c>
    </row>
    <row r="854" spans="1:10" hidden="1">
      <c r="A854">
        <v>853</v>
      </c>
      <c r="B854">
        <v>12</v>
      </c>
      <c r="C854" t="s">
        <v>8</v>
      </c>
      <c r="D854" s="1">
        <v>45417</v>
      </c>
      <c r="E854" t="s">
        <v>26</v>
      </c>
      <c r="F854" t="s">
        <v>21</v>
      </c>
      <c r="G854" t="s">
        <v>16</v>
      </c>
      <c r="H854">
        <v>497.38</v>
      </c>
      <c r="I854" t="str">
        <f t="shared" si="26"/>
        <v>May/2024</v>
      </c>
      <c r="J854">
        <f t="shared" si="27"/>
        <v>432115.2300000001</v>
      </c>
    </row>
    <row r="855" spans="1:10" hidden="1">
      <c r="A855">
        <v>854</v>
      </c>
      <c r="B855">
        <v>14</v>
      </c>
      <c r="C855" t="s">
        <v>12</v>
      </c>
      <c r="D855" s="1">
        <v>45473</v>
      </c>
      <c r="E855" t="s">
        <v>26</v>
      </c>
      <c r="F855" t="s">
        <v>10</v>
      </c>
      <c r="G855" t="s">
        <v>11</v>
      </c>
      <c r="H855">
        <v>556.73</v>
      </c>
      <c r="I855" t="str">
        <f t="shared" si="26"/>
        <v>Jun/2024</v>
      </c>
      <c r="J855">
        <f t="shared" si="27"/>
        <v>432671.96000000008</v>
      </c>
    </row>
    <row r="856" spans="1:10" hidden="1">
      <c r="A856">
        <v>855</v>
      </c>
      <c r="B856">
        <v>31</v>
      </c>
      <c r="C856" t="s">
        <v>19</v>
      </c>
      <c r="D856" s="1">
        <v>45329</v>
      </c>
      <c r="E856" t="s">
        <v>9</v>
      </c>
      <c r="F856" t="s">
        <v>18</v>
      </c>
      <c r="G856" t="s">
        <v>11</v>
      </c>
      <c r="H856">
        <v>414.41</v>
      </c>
      <c r="I856" t="str">
        <f t="shared" si="26"/>
        <v>Feb/2024</v>
      </c>
      <c r="J856">
        <f t="shared" si="27"/>
        <v>433086.37000000005</v>
      </c>
    </row>
    <row r="857" spans="1:10" hidden="1">
      <c r="A857">
        <v>856</v>
      </c>
      <c r="B857">
        <v>20</v>
      </c>
      <c r="C857" t="s">
        <v>8</v>
      </c>
      <c r="D857" s="1">
        <v>45323</v>
      </c>
      <c r="E857" t="s">
        <v>26</v>
      </c>
      <c r="F857" t="s">
        <v>18</v>
      </c>
      <c r="G857" t="s">
        <v>20</v>
      </c>
      <c r="H857">
        <v>450.18</v>
      </c>
      <c r="I857" t="str">
        <f t="shared" si="26"/>
        <v>Feb/2024</v>
      </c>
      <c r="J857">
        <f t="shared" si="27"/>
        <v>433536.55000000005</v>
      </c>
    </row>
    <row r="858" spans="1:10" hidden="1">
      <c r="A858">
        <v>857</v>
      </c>
      <c r="B858">
        <v>49</v>
      </c>
      <c r="C858" t="s">
        <v>12</v>
      </c>
      <c r="D858" s="1">
        <v>45392</v>
      </c>
      <c r="E858" t="s">
        <v>9</v>
      </c>
      <c r="F858" t="s">
        <v>21</v>
      </c>
      <c r="G858" t="s">
        <v>16</v>
      </c>
      <c r="H858">
        <v>992.76</v>
      </c>
      <c r="I858" t="str">
        <f t="shared" si="26"/>
        <v>Apr/2024</v>
      </c>
      <c r="J858">
        <f t="shared" si="27"/>
        <v>434529.31000000006</v>
      </c>
    </row>
    <row r="859" spans="1:10" hidden="1">
      <c r="A859">
        <v>858</v>
      </c>
      <c r="B859">
        <v>51</v>
      </c>
      <c r="C859" t="s">
        <v>8</v>
      </c>
      <c r="D859" s="1">
        <v>45424</v>
      </c>
      <c r="E859" t="s">
        <v>26</v>
      </c>
      <c r="F859" t="s">
        <v>10</v>
      </c>
      <c r="G859" t="s">
        <v>11</v>
      </c>
      <c r="H859">
        <v>797.39</v>
      </c>
      <c r="I859" t="str">
        <f t="shared" si="26"/>
        <v>May/2024</v>
      </c>
      <c r="J859">
        <f t="shared" si="27"/>
        <v>435326.70000000007</v>
      </c>
    </row>
    <row r="860" spans="1:10" hidden="1">
      <c r="A860">
        <v>859</v>
      </c>
      <c r="B860">
        <v>25</v>
      </c>
      <c r="C860" t="s">
        <v>19</v>
      </c>
      <c r="D860" s="1">
        <v>45376</v>
      </c>
      <c r="E860" t="s">
        <v>15</v>
      </c>
      <c r="F860" t="s">
        <v>10</v>
      </c>
      <c r="G860" t="s">
        <v>20</v>
      </c>
      <c r="H860">
        <v>651.04</v>
      </c>
      <c r="I860" t="str">
        <f t="shared" si="26"/>
        <v>Mar/2024</v>
      </c>
      <c r="J860">
        <f t="shared" si="27"/>
        <v>435977.74000000005</v>
      </c>
    </row>
    <row r="861" spans="1:10" hidden="1">
      <c r="A861">
        <v>860</v>
      </c>
      <c r="B861">
        <v>10</v>
      </c>
      <c r="C861" t="s">
        <v>8</v>
      </c>
      <c r="D861" s="1">
        <v>45467</v>
      </c>
      <c r="E861" t="s">
        <v>9</v>
      </c>
      <c r="F861" t="s">
        <v>21</v>
      </c>
      <c r="G861" t="s">
        <v>11</v>
      </c>
      <c r="H861">
        <v>862.64</v>
      </c>
      <c r="I861" t="str">
        <f t="shared" si="26"/>
        <v>Jun/2024</v>
      </c>
      <c r="J861">
        <f t="shared" si="27"/>
        <v>436840.38000000006</v>
      </c>
    </row>
    <row r="862" spans="1:10" hidden="1">
      <c r="A862">
        <v>861</v>
      </c>
      <c r="B862">
        <v>51</v>
      </c>
      <c r="C862" t="s">
        <v>8</v>
      </c>
      <c r="D862" s="1">
        <v>45302</v>
      </c>
      <c r="E862" t="s">
        <v>26</v>
      </c>
      <c r="F862" t="s">
        <v>18</v>
      </c>
      <c r="G862" t="s">
        <v>16</v>
      </c>
      <c r="H862">
        <v>915.73</v>
      </c>
      <c r="I862" t="str">
        <f t="shared" si="26"/>
        <v>Jan/2024</v>
      </c>
      <c r="J862">
        <f t="shared" si="27"/>
        <v>437756.11000000004</v>
      </c>
    </row>
    <row r="863" spans="1:10" hidden="1">
      <c r="A863">
        <v>862</v>
      </c>
      <c r="B863">
        <v>63</v>
      </c>
      <c r="C863" t="s">
        <v>8</v>
      </c>
      <c r="D863" s="1">
        <v>45338</v>
      </c>
      <c r="E863" t="s">
        <v>9</v>
      </c>
      <c r="F863" t="s">
        <v>18</v>
      </c>
      <c r="G863" t="s">
        <v>11</v>
      </c>
      <c r="H863">
        <v>445.47</v>
      </c>
      <c r="I863" t="str">
        <f t="shared" si="26"/>
        <v>Feb/2024</v>
      </c>
      <c r="J863">
        <f t="shared" si="27"/>
        <v>438201.58</v>
      </c>
    </row>
    <row r="864" spans="1:10" hidden="1">
      <c r="A864">
        <v>863</v>
      </c>
      <c r="B864">
        <v>46</v>
      </c>
      <c r="C864" t="s">
        <v>12</v>
      </c>
      <c r="D864" s="1">
        <v>45367</v>
      </c>
      <c r="E864" t="s">
        <v>26</v>
      </c>
      <c r="F864" t="s">
        <v>18</v>
      </c>
      <c r="G864" t="s">
        <v>16</v>
      </c>
      <c r="H864">
        <v>789.92</v>
      </c>
      <c r="I864" t="str">
        <f t="shared" si="26"/>
        <v>Mar/2024</v>
      </c>
      <c r="J864">
        <f t="shared" si="27"/>
        <v>438991.5</v>
      </c>
    </row>
    <row r="865" spans="1:10" hidden="1">
      <c r="A865">
        <v>864</v>
      </c>
      <c r="B865">
        <v>95</v>
      </c>
      <c r="C865" t="s">
        <v>19</v>
      </c>
      <c r="D865" s="1">
        <v>45294</v>
      </c>
      <c r="E865" t="s">
        <v>9</v>
      </c>
      <c r="F865" t="s">
        <v>18</v>
      </c>
      <c r="G865" t="s">
        <v>20</v>
      </c>
      <c r="H865">
        <v>951.99</v>
      </c>
      <c r="I865" t="str">
        <f t="shared" si="26"/>
        <v>Jan/2024</v>
      </c>
      <c r="J865">
        <f t="shared" si="27"/>
        <v>439943.49</v>
      </c>
    </row>
    <row r="866" spans="1:10" hidden="1">
      <c r="A866">
        <v>865</v>
      </c>
      <c r="B866">
        <v>97</v>
      </c>
      <c r="C866" t="s">
        <v>8</v>
      </c>
      <c r="D866" s="1">
        <v>45457</v>
      </c>
      <c r="E866" t="s">
        <v>26</v>
      </c>
      <c r="F866" t="s">
        <v>18</v>
      </c>
      <c r="G866" t="s">
        <v>11</v>
      </c>
      <c r="H866">
        <v>345.34</v>
      </c>
      <c r="I866" t="str">
        <f t="shared" si="26"/>
        <v>Jun/2024</v>
      </c>
      <c r="J866">
        <f t="shared" si="27"/>
        <v>440288.83</v>
      </c>
    </row>
    <row r="867" spans="1:10" hidden="1">
      <c r="A867">
        <v>866</v>
      </c>
      <c r="B867">
        <v>99</v>
      </c>
      <c r="C867" t="s">
        <v>19</v>
      </c>
      <c r="D867" s="1">
        <v>45344</v>
      </c>
      <c r="E867" t="s">
        <v>26</v>
      </c>
      <c r="F867" t="s">
        <v>10</v>
      </c>
      <c r="G867" t="s">
        <v>11</v>
      </c>
      <c r="H867">
        <v>119.16</v>
      </c>
      <c r="I867" t="str">
        <f t="shared" si="26"/>
        <v>Feb/2024</v>
      </c>
      <c r="J867">
        <f t="shared" si="27"/>
        <v>440407.99</v>
      </c>
    </row>
    <row r="868" spans="1:10" hidden="1">
      <c r="A868">
        <v>867</v>
      </c>
      <c r="B868">
        <v>9</v>
      </c>
      <c r="C868" t="s">
        <v>19</v>
      </c>
      <c r="D868" s="1">
        <v>45367</v>
      </c>
      <c r="E868" t="s">
        <v>26</v>
      </c>
      <c r="F868" t="s">
        <v>10</v>
      </c>
      <c r="G868" t="s">
        <v>16</v>
      </c>
      <c r="H868">
        <v>649.87</v>
      </c>
      <c r="I868" t="str">
        <f t="shared" si="26"/>
        <v>Mar/2024</v>
      </c>
      <c r="J868">
        <f t="shared" si="27"/>
        <v>441057.86</v>
      </c>
    </row>
    <row r="869" spans="1:10" hidden="1">
      <c r="A869">
        <v>868</v>
      </c>
      <c r="B869">
        <v>38</v>
      </c>
      <c r="C869" t="s">
        <v>19</v>
      </c>
      <c r="D869" s="1">
        <v>45422</v>
      </c>
      <c r="E869" t="s">
        <v>26</v>
      </c>
      <c r="F869" t="s">
        <v>18</v>
      </c>
      <c r="G869" t="s">
        <v>20</v>
      </c>
      <c r="H869">
        <v>141.43</v>
      </c>
      <c r="I869" t="str">
        <f t="shared" si="26"/>
        <v>May/2024</v>
      </c>
      <c r="J869">
        <f t="shared" si="27"/>
        <v>441199.29</v>
      </c>
    </row>
    <row r="870" spans="1:10" hidden="1">
      <c r="A870">
        <v>869</v>
      </c>
      <c r="B870">
        <v>55</v>
      </c>
      <c r="C870" t="s">
        <v>12</v>
      </c>
      <c r="D870" s="1">
        <v>45451</v>
      </c>
      <c r="E870" t="s">
        <v>26</v>
      </c>
      <c r="F870" t="s">
        <v>18</v>
      </c>
      <c r="G870" t="s">
        <v>20</v>
      </c>
      <c r="H870">
        <v>753.6</v>
      </c>
      <c r="I870" t="str">
        <f t="shared" si="26"/>
        <v>Jun/2024</v>
      </c>
      <c r="J870">
        <f t="shared" si="27"/>
        <v>441952.88999999996</v>
      </c>
    </row>
    <row r="871" spans="1:10" hidden="1">
      <c r="A871">
        <v>870</v>
      </c>
      <c r="B871">
        <v>39</v>
      </c>
      <c r="C871" t="s">
        <v>8</v>
      </c>
      <c r="D871" s="1">
        <v>45416</v>
      </c>
      <c r="E871" t="s">
        <v>15</v>
      </c>
      <c r="F871" t="s">
        <v>18</v>
      </c>
      <c r="G871" t="s">
        <v>11</v>
      </c>
      <c r="H871">
        <v>210.03</v>
      </c>
      <c r="I871" t="str">
        <f t="shared" si="26"/>
        <v>May/2024</v>
      </c>
      <c r="J871">
        <f t="shared" si="27"/>
        <v>442162.92</v>
      </c>
    </row>
    <row r="872" spans="1:10" hidden="1">
      <c r="A872">
        <v>871</v>
      </c>
      <c r="B872">
        <v>59</v>
      </c>
      <c r="C872" t="s">
        <v>8</v>
      </c>
      <c r="D872" s="1">
        <v>45456</v>
      </c>
      <c r="E872" t="s">
        <v>26</v>
      </c>
      <c r="F872" t="s">
        <v>18</v>
      </c>
      <c r="G872" t="s">
        <v>20</v>
      </c>
      <c r="H872">
        <v>992.01</v>
      </c>
      <c r="I872" t="str">
        <f t="shared" si="26"/>
        <v>Jun/2024</v>
      </c>
      <c r="J872">
        <f t="shared" si="27"/>
        <v>443154.93</v>
      </c>
    </row>
    <row r="873" spans="1:10" hidden="1">
      <c r="A873">
        <v>872</v>
      </c>
      <c r="B873">
        <v>1</v>
      </c>
      <c r="C873" t="s">
        <v>12</v>
      </c>
      <c r="D873" s="1">
        <v>45432</v>
      </c>
      <c r="E873" t="s">
        <v>15</v>
      </c>
      <c r="F873" t="s">
        <v>10</v>
      </c>
      <c r="G873" t="s">
        <v>16</v>
      </c>
      <c r="H873">
        <v>148.15</v>
      </c>
      <c r="I873" t="str">
        <f t="shared" si="26"/>
        <v>May/2024</v>
      </c>
      <c r="J873">
        <f t="shared" si="27"/>
        <v>443303.08</v>
      </c>
    </row>
    <row r="874" spans="1:10" hidden="1">
      <c r="A874">
        <v>873</v>
      </c>
      <c r="B874">
        <v>5</v>
      </c>
      <c r="C874" t="s">
        <v>12</v>
      </c>
      <c r="D874" s="1">
        <v>45296</v>
      </c>
      <c r="E874" t="s">
        <v>26</v>
      </c>
      <c r="F874" t="s">
        <v>18</v>
      </c>
      <c r="G874" t="s">
        <v>11</v>
      </c>
      <c r="H874">
        <v>577.39</v>
      </c>
      <c r="I874" t="str">
        <f t="shared" si="26"/>
        <v>Jan/2024</v>
      </c>
      <c r="J874">
        <f t="shared" si="27"/>
        <v>443880.47000000003</v>
      </c>
    </row>
    <row r="875" spans="1:10" hidden="1">
      <c r="A875">
        <v>874</v>
      </c>
      <c r="B875">
        <v>1</v>
      </c>
      <c r="C875" t="s">
        <v>19</v>
      </c>
      <c r="D875" s="1">
        <v>45401</v>
      </c>
      <c r="E875" t="s">
        <v>26</v>
      </c>
      <c r="F875" t="s">
        <v>18</v>
      </c>
      <c r="G875" t="s">
        <v>11</v>
      </c>
      <c r="H875">
        <v>98.45</v>
      </c>
      <c r="I875" t="str">
        <f t="shared" si="26"/>
        <v>Apr/2024</v>
      </c>
      <c r="J875">
        <f t="shared" si="27"/>
        <v>443978.92000000004</v>
      </c>
    </row>
    <row r="876" spans="1:10">
      <c r="A876">
        <v>875</v>
      </c>
      <c r="B876">
        <v>81</v>
      </c>
      <c r="C876" t="s">
        <v>8</v>
      </c>
      <c r="D876" s="1">
        <v>45400</v>
      </c>
      <c r="E876" t="s">
        <v>9</v>
      </c>
      <c r="F876" t="s">
        <v>21</v>
      </c>
      <c r="G876" t="s">
        <v>20</v>
      </c>
      <c r="H876">
        <v>734.65</v>
      </c>
      <c r="I876" t="str">
        <f t="shared" si="26"/>
        <v>Apr/2024</v>
      </c>
      <c r="J876">
        <f t="shared" si="27"/>
        <v>444713.57000000007</v>
      </c>
    </row>
    <row r="877" spans="1:10" hidden="1">
      <c r="A877">
        <v>876</v>
      </c>
      <c r="B877">
        <v>31</v>
      </c>
      <c r="C877" t="s">
        <v>19</v>
      </c>
      <c r="D877" s="1">
        <v>45382</v>
      </c>
      <c r="E877" t="s">
        <v>26</v>
      </c>
      <c r="F877" t="s">
        <v>18</v>
      </c>
      <c r="G877" t="s">
        <v>20</v>
      </c>
      <c r="H877">
        <v>485.93</v>
      </c>
      <c r="I877" t="str">
        <f t="shared" si="26"/>
        <v>Mar/2024</v>
      </c>
      <c r="J877">
        <f t="shared" si="27"/>
        <v>445199.50000000006</v>
      </c>
    </row>
    <row r="878" spans="1:10" hidden="1">
      <c r="A878">
        <v>877</v>
      </c>
      <c r="B878">
        <v>67</v>
      </c>
      <c r="C878" t="s">
        <v>8</v>
      </c>
      <c r="D878" s="1">
        <v>45326</v>
      </c>
      <c r="E878" t="s">
        <v>9</v>
      </c>
      <c r="F878" t="s">
        <v>10</v>
      </c>
      <c r="G878" t="s">
        <v>16</v>
      </c>
      <c r="H878">
        <v>505.47</v>
      </c>
      <c r="I878" t="str">
        <f t="shared" si="26"/>
        <v>Feb/2024</v>
      </c>
      <c r="J878">
        <f t="shared" si="27"/>
        <v>445704.97000000003</v>
      </c>
    </row>
    <row r="879" spans="1:10" hidden="1">
      <c r="A879">
        <v>878</v>
      </c>
      <c r="B879">
        <v>13</v>
      </c>
      <c r="C879" t="s">
        <v>12</v>
      </c>
      <c r="D879" s="1">
        <v>45432</v>
      </c>
      <c r="E879" t="s">
        <v>15</v>
      </c>
      <c r="F879" t="s">
        <v>18</v>
      </c>
      <c r="G879" t="s">
        <v>16</v>
      </c>
      <c r="H879">
        <v>769.34</v>
      </c>
      <c r="I879" t="str">
        <f t="shared" si="26"/>
        <v>May/2024</v>
      </c>
      <c r="J879">
        <f t="shared" si="27"/>
        <v>446474.31000000006</v>
      </c>
    </row>
    <row r="880" spans="1:10" hidden="1">
      <c r="A880">
        <v>879</v>
      </c>
      <c r="B880">
        <v>37</v>
      </c>
      <c r="C880" t="s">
        <v>8</v>
      </c>
      <c r="D880" s="1">
        <v>45362</v>
      </c>
      <c r="E880" t="s">
        <v>15</v>
      </c>
      <c r="F880" t="s">
        <v>21</v>
      </c>
      <c r="G880" t="s">
        <v>20</v>
      </c>
      <c r="H880">
        <v>939.94</v>
      </c>
      <c r="I880" t="str">
        <f t="shared" si="26"/>
        <v>Mar/2024</v>
      </c>
      <c r="J880">
        <f t="shared" si="27"/>
        <v>447414.25000000006</v>
      </c>
    </row>
    <row r="881" spans="1:10" hidden="1">
      <c r="A881">
        <v>880</v>
      </c>
      <c r="B881">
        <v>91</v>
      </c>
      <c r="C881" t="s">
        <v>19</v>
      </c>
      <c r="D881" s="1">
        <v>45401</v>
      </c>
      <c r="E881" t="s">
        <v>26</v>
      </c>
      <c r="F881" t="s">
        <v>10</v>
      </c>
      <c r="G881" t="s">
        <v>11</v>
      </c>
      <c r="H881">
        <v>18.7</v>
      </c>
      <c r="I881" t="str">
        <f t="shared" si="26"/>
        <v>Apr/2024</v>
      </c>
      <c r="J881">
        <f t="shared" si="27"/>
        <v>447432.95000000007</v>
      </c>
    </row>
    <row r="882" spans="1:10" hidden="1">
      <c r="A882">
        <v>881</v>
      </c>
      <c r="B882">
        <v>26</v>
      </c>
      <c r="C882" t="s">
        <v>12</v>
      </c>
      <c r="D882" s="1">
        <v>45312</v>
      </c>
      <c r="E882" t="s">
        <v>15</v>
      </c>
      <c r="F882" t="s">
        <v>10</v>
      </c>
      <c r="G882" t="s">
        <v>16</v>
      </c>
      <c r="H882">
        <v>892.85</v>
      </c>
      <c r="I882" t="str">
        <f t="shared" si="26"/>
        <v>Jan/2024</v>
      </c>
      <c r="J882">
        <f t="shared" si="27"/>
        <v>448325.80000000005</v>
      </c>
    </row>
    <row r="883" spans="1:10" hidden="1">
      <c r="A883">
        <v>882</v>
      </c>
      <c r="B883">
        <v>39</v>
      </c>
      <c r="C883" t="s">
        <v>12</v>
      </c>
      <c r="D883" s="1">
        <v>45433</v>
      </c>
      <c r="E883" t="s">
        <v>9</v>
      </c>
      <c r="F883" t="s">
        <v>21</v>
      </c>
      <c r="G883" t="s">
        <v>16</v>
      </c>
      <c r="H883">
        <v>85.21</v>
      </c>
      <c r="I883" t="str">
        <f t="shared" si="26"/>
        <v>May/2024</v>
      </c>
      <c r="J883">
        <f t="shared" si="27"/>
        <v>448411.01000000007</v>
      </c>
    </row>
    <row r="884" spans="1:10" hidden="1">
      <c r="A884">
        <v>883</v>
      </c>
      <c r="B884">
        <v>35</v>
      </c>
      <c r="C884" t="s">
        <v>12</v>
      </c>
      <c r="D884" s="1">
        <v>45449</v>
      </c>
      <c r="E884" t="s">
        <v>9</v>
      </c>
      <c r="F884" t="s">
        <v>10</v>
      </c>
      <c r="G884" t="s">
        <v>11</v>
      </c>
      <c r="H884">
        <v>20.83</v>
      </c>
      <c r="I884" t="str">
        <f t="shared" si="26"/>
        <v>Jun/2024</v>
      </c>
      <c r="J884">
        <f t="shared" si="27"/>
        <v>448431.84000000008</v>
      </c>
    </row>
    <row r="885" spans="1:10" hidden="1">
      <c r="A885">
        <v>884</v>
      </c>
      <c r="B885">
        <v>4</v>
      </c>
      <c r="C885" t="s">
        <v>19</v>
      </c>
      <c r="D885" s="1">
        <v>45383</v>
      </c>
      <c r="E885" t="s">
        <v>15</v>
      </c>
      <c r="F885" t="s">
        <v>10</v>
      </c>
      <c r="G885" t="s">
        <v>20</v>
      </c>
      <c r="H885">
        <v>800.02</v>
      </c>
      <c r="I885" t="str">
        <f t="shared" si="26"/>
        <v>Apr/2024</v>
      </c>
      <c r="J885">
        <f t="shared" si="27"/>
        <v>449231.8600000001</v>
      </c>
    </row>
    <row r="886" spans="1:10" hidden="1">
      <c r="A886">
        <v>885</v>
      </c>
      <c r="B886">
        <v>28</v>
      </c>
      <c r="C886" t="s">
        <v>19</v>
      </c>
      <c r="D886" s="1">
        <v>45450</v>
      </c>
      <c r="E886" t="s">
        <v>26</v>
      </c>
      <c r="F886" t="s">
        <v>18</v>
      </c>
      <c r="G886" t="s">
        <v>11</v>
      </c>
      <c r="H886">
        <v>525.36</v>
      </c>
      <c r="I886" t="str">
        <f t="shared" si="26"/>
        <v>Jun/2024</v>
      </c>
      <c r="J886">
        <f t="shared" si="27"/>
        <v>449757.22000000009</v>
      </c>
    </row>
    <row r="887" spans="1:10" hidden="1">
      <c r="A887">
        <v>886</v>
      </c>
      <c r="B887">
        <v>4</v>
      </c>
      <c r="C887" t="s">
        <v>8</v>
      </c>
      <c r="D887" s="1">
        <v>45411</v>
      </c>
      <c r="E887" t="s">
        <v>26</v>
      </c>
      <c r="F887" t="s">
        <v>10</v>
      </c>
      <c r="G887" t="s">
        <v>11</v>
      </c>
      <c r="H887">
        <v>164.46</v>
      </c>
      <c r="I887" t="str">
        <f t="shared" si="26"/>
        <v>Apr/2024</v>
      </c>
      <c r="J887">
        <f t="shared" si="27"/>
        <v>449921.68000000011</v>
      </c>
    </row>
    <row r="888" spans="1:10" hidden="1">
      <c r="A888">
        <v>887</v>
      </c>
      <c r="B888">
        <v>95</v>
      </c>
      <c r="C888" t="s">
        <v>8</v>
      </c>
      <c r="D888" s="1">
        <v>45441</v>
      </c>
      <c r="E888" t="s">
        <v>9</v>
      </c>
      <c r="F888" t="s">
        <v>21</v>
      </c>
      <c r="G888" t="s">
        <v>20</v>
      </c>
      <c r="H888">
        <v>452.93</v>
      </c>
      <c r="I888" t="str">
        <f t="shared" si="26"/>
        <v>May/2024</v>
      </c>
      <c r="J888">
        <f t="shared" si="27"/>
        <v>450374.6100000001</v>
      </c>
    </row>
    <row r="889" spans="1:10" hidden="1">
      <c r="A889">
        <v>888</v>
      </c>
      <c r="B889">
        <v>17</v>
      </c>
      <c r="C889" t="s">
        <v>19</v>
      </c>
      <c r="D889" s="1">
        <v>45398</v>
      </c>
      <c r="E889" t="s">
        <v>9</v>
      </c>
      <c r="F889" t="s">
        <v>18</v>
      </c>
      <c r="G889" t="s">
        <v>16</v>
      </c>
      <c r="H889">
        <v>729.83</v>
      </c>
      <c r="I889" t="str">
        <f t="shared" si="26"/>
        <v>Apr/2024</v>
      </c>
      <c r="J889">
        <f t="shared" si="27"/>
        <v>451104.44000000012</v>
      </c>
    </row>
    <row r="890" spans="1:10" hidden="1">
      <c r="A890">
        <v>889</v>
      </c>
      <c r="B890">
        <v>52</v>
      </c>
      <c r="C890" t="s">
        <v>12</v>
      </c>
      <c r="D890" s="1">
        <v>45417</v>
      </c>
      <c r="E890" t="s">
        <v>9</v>
      </c>
      <c r="F890" t="s">
        <v>21</v>
      </c>
      <c r="G890" t="s">
        <v>16</v>
      </c>
      <c r="H890">
        <v>138.24</v>
      </c>
      <c r="I890" t="str">
        <f t="shared" si="26"/>
        <v>May/2024</v>
      </c>
      <c r="J890">
        <f t="shared" si="27"/>
        <v>451242.68000000011</v>
      </c>
    </row>
    <row r="891" spans="1:10" hidden="1">
      <c r="A891">
        <v>890</v>
      </c>
      <c r="B891">
        <v>49</v>
      </c>
      <c r="C891" t="s">
        <v>8</v>
      </c>
      <c r="D891" s="1">
        <v>45448</v>
      </c>
      <c r="E891" t="s">
        <v>15</v>
      </c>
      <c r="F891" t="s">
        <v>10</v>
      </c>
      <c r="G891" t="s">
        <v>16</v>
      </c>
      <c r="H891">
        <v>901.01</v>
      </c>
      <c r="I891" t="str">
        <f t="shared" si="26"/>
        <v>Jun/2024</v>
      </c>
      <c r="J891">
        <f t="shared" si="27"/>
        <v>452143.69000000012</v>
      </c>
    </row>
    <row r="892" spans="1:10" hidden="1">
      <c r="A892">
        <v>891</v>
      </c>
      <c r="B892">
        <v>90</v>
      </c>
      <c r="C892" t="s">
        <v>12</v>
      </c>
      <c r="D892" s="1">
        <v>45460</v>
      </c>
      <c r="E892" t="s">
        <v>15</v>
      </c>
      <c r="F892" t="s">
        <v>10</v>
      </c>
      <c r="G892" t="s">
        <v>20</v>
      </c>
      <c r="H892">
        <v>780.69</v>
      </c>
      <c r="I892" t="str">
        <f t="shared" si="26"/>
        <v>Jun/2024</v>
      </c>
      <c r="J892">
        <f t="shared" si="27"/>
        <v>452924.38000000012</v>
      </c>
    </row>
    <row r="893" spans="1:10" hidden="1">
      <c r="A893">
        <v>892</v>
      </c>
      <c r="B893">
        <v>4</v>
      </c>
      <c r="C893" t="s">
        <v>8</v>
      </c>
      <c r="D893" s="1">
        <v>45424</v>
      </c>
      <c r="E893" t="s">
        <v>15</v>
      </c>
      <c r="F893" t="s">
        <v>18</v>
      </c>
      <c r="G893" t="s">
        <v>16</v>
      </c>
      <c r="H893">
        <v>280.56</v>
      </c>
      <c r="I893" t="str">
        <f t="shared" si="26"/>
        <v>May/2024</v>
      </c>
      <c r="J893">
        <f t="shared" si="27"/>
        <v>453204.94000000012</v>
      </c>
    </row>
    <row r="894" spans="1:10" hidden="1">
      <c r="A894">
        <v>893</v>
      </c>
      <c r="B894">
        <v>64</v>
      </c>
      <c r="C894" t="s">
        <v>8</v>
      </c>
      <c r="D894" s="1">
        <v>45389</v>
      </c>
      <c r="E894" t="s">
        <v>26</v>
      </c>
      <c r="F894" t="s">
        <v>10</v>
      </c>
      <c r="G894" t="s">
        <v>20</v>
      </c>
      <c r="H894">
        <v>437.25</v>
      </c>
      <c r="I894" t="str">
        <f t="shared" si="26"/>
        <v>Apr/2024</v>
      </c>
      <c r="J894">
        <f t="shared" si="27"/>
        <v>453642.19000000012</v>
      </c>
    </row>
    <row r="895" spans="1:10" hidden="1">
      <c r="A895">
        <v>894</v>
      </c>
      <c r="B895">
        <v>73</v>
      </c>
      <c r="C895" t="s">
        <v>8</v>
      </c>
      <c r="D895" s="1">
        <v>45431</v>
      </c>
      <c r="E895" t="s">
        <v>26</v>
      </c>
      <c r="F895" t="s">
        <v>10</v>
      </c>
      <c r="G895" t="s">
        <v>20</v>
      </c>
      <c r="H895">
        <v>902.78</v>
      </c>
      <c r="I895" t="str">
        <f t="shared" si="26"/>
        <v>May/2024</v>
      </c>
      <c r="J895">
        <f t="shared" si="27"/>
        <v>454544.97000000015</v>
      </c>
    </row>
    <row r="896" spans="1:10" hidden="1">
      <c r="A896">
        <v>895</v>
      </c>
      <c r="B896">
        <v>64</v>
      </c>
      <c r="C896" t="s">
        <v>8</v>
      </c>
      <c r="D896" s="1">
        <v>45300</v>
      </c>
      <c r="E896" t="s">
        <v>15</v>
      </c>
      <c r="F896" t="s">
        <v>10</v>
      </c>
      <c r="G896" t="s">
        <v>11</v>
      </c>
      <c r="H896">
        <v>687.38</v>
      </c>
      <c r="I896" t="str">
        <f t="shared" si="26"/>
        <v>Jan/2024</v>
      </c>
      <c r="J896">
        <f t="shared" si="27"/>
        <v>455232.35000000015</v>
      </c>
    </row>
    <row r="897" spans="1:10" hidden="1">
      <c r="A897">
        <v>896</v>
      </c>
      <c r="B897">
        <v>64</v>
      </c>
      <c r="C897" t="s">
        <v>8</v>
      </c>
      <c r="D897" s="1">
        <v>45380</v>
      </c>
      <c r="E897" t="s">
        <v>15</v>
      </c>
      <c r="F897" t="s">
        <v>10</v>
      </c>
      <c r="G897" t="s">
        <v>20</v>
      </c>
      <c r="H897">
        <v>436.79</v>
      </c>
      <c r="I897" t="str">
        <f t="shared" si="26"/>
        <v>Mar/2024</v>
      </c>
      <c r="J897">
        <f t="shared" si="27"/>
        <v>455669.14000000013</v>
      </c>
    </row>
    <row r="898" spans="1:10" hidden="1">
      <c r="A898">
        <v>897</v>
      </c>
      <c r="B898">
        <v>56</v>
      </c>
      <c r="C898" t="s">
        <v>12</v>
      </c>
      <c r="D898" s="1">
        <v>45427</v>
      </c>
      <c r="E898" t="s">
        <v>15</v>
      </c>
      <c r="F898" t="s">
        <v>10</v>
      </c>
      <c r="G898" t="s">
        <v>20</v>
      </c>
      <c r="H898">
        <v>991.95</v>
      </c>
      <c r="I898" t="str">
        <f t="shared" si="26"/>
        <v>May/2024</v>
      </c>
      <c r="J898">
        <f t="shared" si="27"/>
        <v>456661.09000000014</v>
      </c>
    </row>
    <row r="899" spans="1:10" hidden="1">
      <c r="A899">
        <v>898</v>
      </c>
      <c r="B899">
        <v>58</v>
      </c>
      <c r="C899" t="s">
        <v>8</v>
      </c>
      <c r="D899" s="1">
        <v>45428</v>
      </c>
      <c r="E899" t="s">
        <v>26</v>
      </c>
      <c r="F899" t="s">
        <v>21</v>
      </c>
      <c r="G899" t="s">
        <v>20</v>
      </c>
      <c r="H899">
        <v>247.97</v>
      </c>
      <c r="I899" t="str">
        <f t="shared" ref="I899:I962" si="28">TEXT(D899,"mmm/yyyy")</f>
        <v>May/2024</v>
      </c>
      <c r="J899">
        <f t="shared" si="27"/>
        <v>456909.06000000011</v>
      </c>
    </row>
    <row r="900" spans="1:10" hidden="1">
      <c r="A900">
        <v>899</v>
      </c>
      <c r="B900">
        <v>65</v>
      </c>
      <c r="C900" t="s">
        <v>19</v>
      </c>
      <c r="D900" s="1">
        <v>45367</v>
      </c>
      <c r="E900" t="s">
        <v>9</v>
      </c>
      <c r="F900" t="s">
        <v>18</v>
      </c>
      <c r="G900" t="s">
        <v>20</v>
      </c>
      <c r="H900">
        <v>895.77</v>
      </c>
      <c r="I900" t="str">
        <f t="shared" si="28"/>
        <v>Mar/2024</v>
      </c>
      <c r="J900">
        <f t="shared" ref="J900:J963" si="29">J899+H900</f>
        <v>457804.83000000013</v>
      </c>
    </row>
    <row r="901" spans="1:10" hidden="1">
      <c r="A901">
        <v>900</v>
      </c>
      <c r="B901">
        <v>84</v>
      </c>
      <c r="C901" t="s">
        <v>12</v>
      </c>
      <c r="D901" s="1">
        <v>45338</v>
      </c>
      <c r="E901" t="s">
        <v>26</v>
      </c>
      <c r="F901" t="s">
        <v>18</v>
      </c>
      <c r="G901" t="s">
        <v>20</v>
      </c>
      <c r="H901">
        <v>628.29</v>
      </c>
      <c r="I901" t="str">
        <f t="shared" si="28"/>
        <v>Feb/2024</v>
      </c>
      <c r="J901">
        <f t="shared" si="29"/>
        <v>458433.12000000011</v>
      </c>
    </row>
    <row r="902" spans="1:10" hidden="1">
      <c r="A902">
        <v>901</v>
      </c>
      <c r="B902">
        <v>27</v>
      </c>
      <c r="C902" t="s">
        <v>19</v>
      </c>
      <c r="D902" s="1">
        <v>45371</v>
      </c>
      <c r="E902" t="s">
        <v>15</v>
      </c>
      <c r="F902" t="s">
        <v>18</v>
      </c>
      <c r="G902" t="s">
        <v>20</v>
      </c>
      <c r="H902">
        <v>40.799999999999997</v>
      </c>
      <c r="I902" t="str">
        <f t="shared" si="28"/>
        <v>Mar/2024</v>
      </c>
      <c r="J902">
        <f t="shared" si="29"/>
        <v>458473.9200000001</v>
      </c>
    </row>
    <row r="903" spans="1:10" hidden="1">
      <c r="A903">
        <v>902</v>
      </c>
      <c r="B903">
        <v>60</v>
      </c>
      <c r="C903" t="s">
        <v>8</v>
      </c>
      <c r="D903" s="1">
        <v>45363</v>
      </c>
      <c r="E903" t="s">
        <v>9</v>
      </c>
      <c r="F903" t="s">
        <v>10</v>
      </c>
      <c r="G903" t="s">
        <v>20</v>
      </c>
      <c r="H903">
        <v>709.87</v>
      </c>
      <c r="I903" t="str">
        <f t="shared" si="28"/>
        <v>Mar/2024</v>
      </c>
      <c r="J903">
        <f t="shared" si="29"/>
        <v>459183.7900000001</v>
      </c>
    </row>
    <row r="904" spans="1:10" hidden="1">
      <c r="A904">
        <v>903</v>
      </c>
      <c r="B904">
        <v>88</v>
      </c>
      <c r="C904" t="s">
        <v>12</v>
      </c>
      <c r="D904" s="1">
        <v>45436</v>
      </c>
      <c r="E904" t="s">
        <v>26</v>
      </c>
      <c r="F904" t="s">
        <v>10</v>
      </c>
      <c r="G904" t="s">
        <v>16</v>
      </c>
      <c r="H904">
        <v>450.31</v>
      </c>
      <c r="I904" t="str">
        <f t="shared" si="28"/>
        <v>May/2024</v>
      </c>
      <c r="J904">
        <f t="shared" si="29"/>
        <v>459634.10000000009</v>
      </c>
    </row>
    <row r="905" spans="1:10" hidden="1">
      <c r="A905">
        <v>904</v>
      </c>
      <c r="B905">
        <v>4</v>
      </c>
      <c r="C905" t="s">
        <v>19</v>
      </c>
      <c r="D905" s="1">
        <v>45390</v>
      </c>
      <c r="E905" t="s">
        <v>26</v>
      </c>
      <c r="F905" t="s">
        <v>21</v>
      </c>
      <c r="G905" t="s">
        <v>11</v>
      </c>
      <c r="H905">
        <v>577.20000000000005</v>
      </c>
      <c r="I905" t="str">
        <f t="shared" si="28"/>
        <v>Apr/2024</v>
      </c>
      <c r="J905">
        <f t="shared" si="29"/>
        <v>460211.3000000001</v>
      </c>
    </row>
    <row r="906" spans="1:10" hidden="1">
      <c r="A906">
        <v>905</v>
      </c>
      <c r="B906">
        <v>100</v>
      </c>
      <c r="C906" t="s">
        <v>12</v>
      </c>
      <c r="D906" s="1">
        <v>45329</v>
      </c>
      <c r="E906" t="s">
        <v>26</v>
      </c>
      <c r="F906" t="s">
        <v>10</v>
      </c>
      <c r="G906" t="s">
        <v>20</v>
      </c>
      <c r="H906">
        <v>431.46</v>
      </c>
      <c r="I906" t="str">
        <f t="shared" si="28"/>
        <v>Feb/2024</v>
      </c>
      <c r="J906">
        <f t="shared" si="29"/>
        <v>460642.76000000013</v>
      </c>
    </row>
    <row r="907" spans="1:10" hidden="1">
      <c r="A907">
        <v>906</v>
      </c>
      <c r="B907">
        <v>6</v>
      </c>
      <c r="C907" t="s">
        <v>8</v>
      </c>
      <c r="D907" s="1">
        <v>45316</v>
      </c>
      <c r="E907" t="s">
        <v>26</v>
      </c>
      <c r="F907" t="s">
        <v>18</v>
      </c>
      <c r="G907" t="s">
        <v>11</v>
      </c>
      <c r="H907">
        <v>62.68</v>
      </c>
      <c r="I907" t="str">
        <f t="shared" si="28"/>
        <v>Jan/2024</v>
      </c>
      <c r="J907">
        <f t="shared" si="29"/>
        <v>460705.44000000012</v>
      </c>
    </row>
    <row r="908" spans="1:10" hidden="1">
      <c r="A908">
        <v>907</v>
      </c>
      <c r="B908">
        <v>4</v>
      </c>
      <c r="C908" t="s">
        <v>8</v>
      </c>
      <c r="D908" s="1">
        <v>45338</v>
      </c>
      <c r="E908" t="s">
        <v>9</v>
      </c>
      <c r="F908" t="s">
        <v>10</v>
      </c>
      <c r="G908" t="s">
        <v>11</v>
      </c>
      <c r="H908">
        <v>988.05</v>
      </c>
      <c r="I908" t="str">
        <f t="shared" si="28"/>
        <v>Feb/2024</v>
      </c>
      <c r="J908">
        <f t="shared" si="29"/>
        <v>461693.49000000011</v>
      </c>
    </row>
    <row r="909" spans="1:10" hidden="1">
      <c r="A909">
        <v>908</v>
      </c>
      <c r="B909">
        <v>31</v>
      </c>
      <c r="C909" t="s">
        <v>12</v>
      </c>
      <c r="D909" s="1">
        <v>45406</v>
      </c>
      <c r="E909" t="s">
        <v>9</v>
      </c>
      <c r="F909" t="s">
        <v>21</v>
      </c>
      <c r="G909" t="s">
        <v>20</v>
      </c>
      <c r="H909">
        <v>156.46</v>
      </c>
      <c r="I909" t="str">
        <f t="shared" si="28"/>
        <v>Apr/2024</v>
      </c>
      <c r="J909">
        <f t="shared" si="29"/>
        <v>461849.95000000013</v>
      </c>
    </row>
    <row r="910" spans="1:10" hidden="1">
      <c r="A910">
        <v>909</v>
      </c>
      <c r="B910">
        <v>6</v>
      </c>
      <c r="C910" t="s">
        <v>12</v>
      </c>
      <c r="D910" s="1">
        <v>45359</v>
      </c>
      <c r="E910" t="s">
        <v>9</v>
      </c>
      <c r="F910" t="s">
        <v>18</v>
      </c>
      <c r="G910" t="s">
        <v>11</v>
      </c>
      <c r="H910">
        <v>32.9</v>
      </c>
      <c r="I910" t="str">
        <f t="shared" si="28"/>
        <v>Mar/2024</v>
      </c>
      <c r="J910">
        <f t="shared" si="29"/>
        <v>461882.85000000015</v>
      </c>
    </row>
    <row r="911" spans="1:10" hidden="1">
      <c r="A911">
        <v>910</v>
      </c>
      <c r="B911">
        <v>43</v>
      </c>
      <c r="C911" t="s">
        <v>12</v>
      </c>
      <c r="D911" s="1">
        <v>45351</v>
      </c>
      <c r="E911" t="s">
        <v>26</v>
      </c>
      <c r="F911" t="s">
        <v>21</v>
      </c>
      <c r="G911" t="s">
        <v>20</v>
      </c>
      <c r="H911">
        <v>443.75</v>
      </c>
      <c r="I911" t="str">
        <f t="shared" si="28"/>
        <v>Feb/2024</v>
      </c>
      <c r="J911">
        <f t="shared" si="29"/>
        <v>462326.60000000015</v>
      </c>
    </row>
    <row r="912" spans="1:10" hidden="1">
      <c r="A912">
        <v>911</v>
      </c>
      <c r="B912">
        <v>82</v>
      </c>
      <c r="C912" t="s">
        <v>12</v>
      </c>
      <c r="D912" s="1">
        <v>45450</v>
      </c>
      <c r="E912" t="s">
        <v>9</v>
      </c>
      <c r="F912" t="s">
        <v>10</v>
      </c>
      <c r="G912" t="s">
        <v>11</v>
      </c>
      <c r="H912">
        <v>62.7</v>
      </c>
      <c r="I912" t="str">
        <f t="shared" si="28"/>
        <v>Jun/2024</v>
      </c>
      <c r="J912">
        <f t="shared" si="29"/>
        <v>462389.30000000016</v>
      </c>
    </row>
    <row r="913" spans="1:10" hidden="1">
      <c r="A913">
        <v>912</v>
      </c>
      <c r="B913">
        <v>46</v>
      </c>
      <c r="C913" t="s">
        <v>12</v>
      </c>
      <c r="D913" s="1">
        <v>45410</v>
      </c>
      <c r="E913" t="s">
        <v>9</v>
      </c>
      <c r="F913" t="s">
        <v>21</v>
      </c>
      <c r="G913" t="s">
        <v>11</v>
      </c>
      <c r="H913">
        <v>278.60000000000002</v>
      </c>
      <c r="I913" t="str">
        <f t="shared" si="28"/>
        <v>Apr/2024</v>
      </c>
      <c r="J913">
        <f t="shared" si="29"/>
        <v>462667.90000000014</v>
      </c>
    </row>
    <row r="914" spans="1:10" hidden="1">
      <c r="A914">
        <v>913</v>
      </c>
      <c r="B914">
        <v>77</v>
      </c>
      <c r="C914" t="s">
        <v>12</v>
      </c>
      <c r="D914" s="1">
        <v>45469</v>
      </c>
      <c r="E914" t="s">
        <v>26</v>
      </c>
      <c r="F914" t="s">
        <v>21</v>
      </c>
      <c r="G914" t="s">
        <v>16</v>
      </c>
      <c r="H914">
        <v>213.48</v>
      </c>
      <c r="I914" t="str">
        <f t="shared" si="28"/>
        <v>Jun/2024</v>
      </c>
      <c r="J914">
        <f t="shared" si="29"/>
        <v>462881.38000000012</v>
      </c>
    </row>
    <row r="915" spans="1:10" hidden="1">
      <c r="A915">
        <v>914</v>
      </c>
      <c r="B915">
        <v>89</v>
      </c>
      <c r="C915" t="s">
        <v>12</v>
      </c>
      <c r="D915" s="1">
        <v>45458</v>
      </c>
      <c r="E915" t="s">
        <v>15</v>
      </c>
      <c r="F915" t="s">
        <v>18</v>
      </c>
      <c r="G915" t="s">
        <v>16</v>
      </c>
      <c r="H915">
        <v>90.11</v>
      </c>
      <c r="I915" t="str">
        <f t="shared" si="28"/>
        <v>Jun/2024</v>
      </c>
      <c r="J915">
        <f t="shared" si="29"/>
        <v>462971.49000000011</v>
      </c>
    </row>
    <row r="916" spans="1:10" hidden="1">
      <c r="A916">
        <v>915</v>
      </c>
      <c r="B916">
        <v>66</v>
      </c>
      <c r="C916" t="s">
        <v>19</v>
      </c>
      <c r="D916" s="1">
        <v>45356</v>
      </c>
      <c r="E916" t="s">
        <v>26</v>
      </c>
      <c r="F916" t="s">
        <v>21</v>
      </c>
      <c r="G916" t="s">
        <v>11</v>
      </c>
      <c r="H916">
        <v>108.7</v>
      </c>
      <c r="I916" t="str">
        <f t="shared" si="28"/>
        <v>Mar/2024</v>
      </c>
      <c r="J916">
        <f t="shared" si="29"/>
        <v>463080.19000000012</v>
      </c>
    </row>
    <row r="917" spans="1:10" hidden="1">
      <c r="A917">
        <v>916</v>
      </c>
      <c r="B917">
        <v>7</v>
      </c>
      <c r="C917" t="s">
        <v>8</v>
      </c>
      <c r="D917" s="1">
        <v>45343</v>
      </c>
      <c r="E917" t="s">
        <v>26</v>
      </c>
      <c r="F917" t="s">
        <v>21</v>
      </c>
      <c r="G917" t="s">
        <v>11</v>
      </c>
      <c r="H917">
        <v>75.06</v>
      </c>
      <c r="I917" t="str">
        <f t="shared" si="28"/>
        <v>Feb/2024</v>
      </c>
      <c r="J917">
        <f t="shared" si="29"/>
        <v>463155.25000000012</v>
      </c>
    </row>
    <row r="918" spans="1:10" hidden="1">
      <c r="A918">
        <v>917</v>
      </c>
      <c r="B918">
        <v>66</v>
      </c>
      <c r="C918" t="s">
        <v>19</v>
      </c>
      <c r="D918" s="1">
        <v>45295</v>
      </c>
      <c r="E918" t="s">
        <v>9</v>
      </c>
      <c r="F918" t="s">
        <v>18</v>
      </c>
      <c r="G918" t="s">
        <v>16</v>
      </c>
      <c r="H918">
        <v>511.65</v>
      </c>
      <c r="I918" t="str">
        <f t="shared" si="28"/>
        <v>Jan/2024</v>
      </c>
      <c r="J918">
        <f t="shared" si="29"/>
        <v>463666.90000000014</v>
      </c>
    </row>
    <row r="919" spans="1:10" hidden="1">
      <c r="A919">
        <v>918</v>
      </c>
      <c r="B919">
        <v>24</v>
      </c>
      <c r="C919" t="s">
        <v>12</v>
      </c>
      <c r="D919" s="1">
        <v>45444</v>
      </c>
      <c r="E919" t="s">
        <v>9</v>
      </c>
      <c r="F919" t="s">
        <v>21</v>
      </c>
      <c r="G919" t="s">
        <v>11</v>
      </c>
      <c r="H919">
        <v>535.87</v>
      </c>
      <c r="I919" t="str">
        <f t="shared" si="28"/>
        <v>Jun/2024</v>
      </c>
      <c r="J919">
        <f t="shared" si="29"/>
        <v>464202.77000000014</v>
      </c>
    </row>
    <row r="920" spans="1:10" hidden="1">
      <c r="A920">
        <v>919</v>
      </c>
      <c r="B920">
        <v>35</v>
      </c>
      <c r="C920" t="s">
        <v>19</v>
      </c>
      <c r="D920" s="1">
        <v>45352</v>
      </c>
      <c r="E920" t="s">
        <v>15</v>
      </c>
      <c r="F920" t="s">
        <v>10</v>
      </c>
      <c r="G920" t="s">
        <v>11</v>
      </c>
      <c r="H920">
        <v>585.78</v>
      </c>
      <c r="I920" t="str">
        <f t="shared" si="28"/>
        <v>Mar/2024</v>
      </c>
      <c r="J920">
        <f t="shared" si="29"/>
        <v>464788.55000000016</v>
      </c>
    </row>
    <row r="921" spans="1:10" hidden="1">
      <c r="A921">
        <v>920</v>
      </c>
      <c r="B921">
        <v>47</v>
      </c>
      <c r="C921" t="s">
        <v>12</v>
      </c>
      <c r="D921" s="1">
        <v>45294</v>
      </c>
      <c r="E921" t="s">
        <v>26</v>
      </c>
      <c r="F921" t="s">
        <v>21</v>
      </c>
      <c r="G921" t="s">
        <v>11</v>
      </c>
      <c r="H921">
        <v>873.58</v>
      </c>
      <c r="I921" t="str">
        <f t="shared" si="28"/>
        <v>Jan/2024</v>
      </c>
      <c r="J921">
        <f t="shared" si="29"/>
        <v>465662.13000000018</v>
      </c>
    </row>
    <row r="922" spans="1:10" hidden="1">
      <c r="A922">
        <v>921</v>
      </c>
      <c r="B922">
        <v>91</v>
      </c>
      <c r="C922" t="s">
        <v>19</v>
      </c>
      <c r="D922" s="1">
        <v>45360</v>
      </c>
      <c r="E922" t="s">
        <v>15</v>
      </c>
      <c r="F922" t="s">
        <v>21</v>
      </c>
      <c r="G922" t="s">
        <v>16</v>
      </c>
      <c r="H922">
        <v>73.459999999999994</v>
      </c>
      <c r="I922" t="str">
        <f t="shared" si="28"/>
        <v>Mar/2024</v>
      </c>
      <c r="J922">
        <f t="shared" si="29"/>
        <v>465735.5900000002</v>
      </c>
    </row>
    <row r="923" spans="1:10" hidden="1">
      <c r="A923">
        <v>922</v>
      </c>
      <c r="B923">
        <v>90</v>
      </c>
      <c r="C923" t="s">
        <v>19</v>
      </c>
      <c r="D923" s="1">
        <v>45368</v>
      </c>
      <c r="E923" t="s">
        <v>9</v>
      </c>
      <c r="F923" t="s">
        <v>10</v>
      </c>
      <c r="G923" t="s">
        <v>11</v>
      </c>
      <c r="H923">
        <v>793.46</v>
      </c>
      <c r="I923" t="str">
        <f t="shared" si="28"/>
        <v>Mar/2024</v>
      </c>
      <c r="J923">
        <f t="shared" si="29"/>
        <v>466529.05000000022</v>
      </c>
    </row>
    <row r="924" spans="1:10" hidden="1">
      <c r="A924">
        <v>923</v>
      </c>
      <c r="B924">
        <v>36</v>
      </c>
      <c r="C924" t="s">
        <v>8</v>
      </c>
      <c r="D924" s="1">
        <v>45380</v>
      </c>
      <c r="E924" t="s">
        <v>26</v>
      </c>
      <c r="F924" t="s">
        <v>10</v>
      </c>
      <c r="G924" t="s">
        <v>11</v>
      </c>
      <c r="H924">
        <v>893.77</v>
      </c>
      <c r="I924" t="str">
        <f t="shared" si="28"/>
        <v>Mar/2024</v>
      </c>
      <c r="J924">
        <f t="shared" si="29"/>
        <v>467422.82000000024</v>
      </c>
    </row>
    <row r="925" spans="1:10" hidden="1">
      <c r="A925">
        <v>924</v>
      </c>
      <c r="B925">
        <v>2</v>
      </c>
      <c r="C925" t="s">
        <v>19</v>
      </c>
      <c r="D925" s="1">
        <v>45459</v>
      </c>
      <c r="E925" t="s">
        <v>9</v>
      </c>
      <c r="F925" t="s">
        <v>10</v>
      </c>
      <c r="G925" t="s">
        <v>20</v>
      </c>
      <c r="H925">
        <v>409.43</v>
      </c>
      <c r="I925" t="str">
        <f t="shared" si="28"/>
        <v>Jun/2024</v>
      </c>
      <c r="J925">
        <f t="shared" si="29"/>
        <v>467832.25000000023</v>
      </c>
    </row>
    <row r="926" spans="1:10" hidden="1">
      <c r="A926">
        <v>925</v>
      </c>
      <c r="B926">
        <v>11</v>
      </c>
      <c r="C926" t="s">
        <v>12</v>
      </c>
      <c r="D926" s="1">
        <v>45415</v>
      </c>
      <c r="E926" t="s">
        <v>15</v>
      </c>
      <c r="F926" t="s">
        <v>10</v>
      </c>
      <c r="G926" t="s">
        <v>16</v>
      </c>
      <c r="H926">
        <v>351.86</v>
      </c>
      <c r="I926" t="str">
        <f t="shared" si="28"/>
        <v>May/2024</v>
      </c>
      <c r="J926">
        <f t="shared" si="29"/>
        <v>468184.11000000022</v>
      </c>
    </row>
    <row r="927" spans="1:10" hidden="1">
      <c r="A927">
        <v>926</v>
      </c>
      <c r="B927">
        <v>16</v>
      </c>
      <c r="C927" t="s">
        <v>12</v>
      </c>
      <c r="D927" s="1">
        <v>45303</v>
      </c>
      <c r="E927" t="s">
        <v>15</v>
      </c>
      <c r="F927" t="s">
        <v>21</v>
      </c>
      <c r="G927" t="s">
        <v>16</v>
      </c>
      <c r="H927">
        <v>933.37</v>
      </c>
      <c r="I927" t="str">
        <f t="shared" si="28"/>
        <v>Jan/2024</v>
      </c>
      <c r="J927">
        <f t="shared" si="29"/>
        <v>469117.48000000021</v>
      </c>
    </row>
    <row r="928" spans="1:10" hidden="1">
      <c r="A928">
        <v>927</v>
      </c>
      <c r="B928">
        <v>44</v>
      </c>
      <c r="C928" t="s">
        <v>19</v>
      </c>
      <c r="D928" s="1">
        <v>45370</v>
      </c>
      <c r="E928" t="s">
        <v>26</v>
      </c>
      <c r="F928" t="s">
        <v>21</v>
      </c>
      <c r="G928" t="s">
        <v>11</v>
      </c>
      <c r="H928">
        <v>333.92</v>
      </c>
      <c r="I928" t="str">
        <f t="shared" si="28"/>
        <v>Mar/2024</v>
      </c>
      <c r="J928">
        <f t="shared" si="29"/>
        <v>469451.4000000002</v>
      </c>
    </row>
    <row r="929" spans="1:10" hidden="1">
      <c r="A929">
        <v>928</v>
      </c>
      <c r="B929">
        <v>80</v>
      </c>
      <c r="C929" t="s">
        <v>8</v>
      </c>
      <c r="D929" s="1">
        <v>45409</v>
      </c>
      <c r="E929" t="s">
        <v>15</v>
      </c>
      <c r="F929" t="s">
        <v>21</v>
      </c>
      <c r="G929" t="s">
        <v>20</v>
      </c>
      <c r="H929">
        <v>904.57</v>
      </c>
      <c r="I929" t="str">
        <f t="shared" si="28"/>
        <v>Apr/2024</v>
      </c>
      <c r="J929">
        <f t="shared" si="29"/>
        <v>470355.9700000002</v>
      </c>
    </row>
    <row r="930" spans="1:10" hidden="1">
      <c r="A930">
        <v>929</v>
      </c>
      <c r="B930">
        <v>5</v>
      </c>
      <c r="C930" t="s">
        <v>12</v>
      </c>
      <c r="D930" s="1">
        <v>45409</v>
      </c>
      <c r="E930" t="s">
        <v>26</v>
      </c>
      <c r="F930" t="s">
        <v>18</v>
      </c>
      <c r="G930" t="s">
        <v>11</v>
      </c>
      <c r="H930">
        <v>225.51</v>
      </c>
      <c r="I930" t="str">
        <f t="shared" si="28"/>
        <v>Apr/2024</v>
      </c>
      <c r="J930">
        <f t="shared" si="29"/>
        <v>470581.48000000021</v>
      </c>
    </row>
    <row r="931" spans="1:10" hidden="1">
      <c r="A931">
        <v>930</v>
      </c>
      <c r="B931">
        <v>52</v>
      </c>
      <c r="C931" t="s">
        <v>12</v>
      </c>
      <c r="D931" s="1">
        <v>45426</v>
      </c>
      <c r="E931" t="s">
        <v>9</v>
      </c>
      <c r="F931" t="s">
        <v>18</v>
      </c>
      <c r="G931" t="s">
        <v>16</v>
      </c>
      <c r="H931">
        <v>664.52</v>
      </c>
      <c r="I931" t="str">
        <f t="shared" si="28"/>
        <v>May/2024</v>
      </c>
      <c r="J931">
        <f t="shared" si="29"/>
        <v>471246.00000000023</v>
      </c>
    </row>
    <row r="932" spans="1:10">
      <c r="A932">
        <v>931</v>
      </c>
      <c r="B932">
        <v>81</v>
      </c>
      <c r="C932" t="s">
        <v>8</v>
      </c>
      <c r="D932" s="1">
        <v>45326</v>
      </c>
      <c r="E932" t="s">
        <v>15</v>
      </c>
      <c r="F932" t="s">
        <v>18</v>
      </c>
      <c r="G932" t="s">
        <v>16</v>
      </c>
      <c r="H932">
        <v>486.49</v>
      </c>
      <c r="I932" t="str">
        <f t="shared" si="28"/>
        <v>Feb/2024</v>
      </c>
      <c r="J932">
        <f t="shared" si="29"/>
        <v>471732.49000000022</v>
      </c>
    </row>
    <row r="933" spans="1:10" hidden="1">
      <c r="A933">
        <v>932</v>
      </c>
      <c r="B933">
        <v>80</v>
      </c>
      <c r="C933" t="s">
        <v>12</v>
      </c>
      <c r="D933" s="1">
        <v>45426</v>
      </c>
      <c r="E933" t="s">
        <v>15</v>
      </c>
      <c r="F933" t="s">
        <v>21</v>
      </c>
      <c r="G933" t="s">
        <v>11</v>
      </c>
      <c r="H933">
        <v>127.23</v>
      </c>
      <c r="I933" t="str">
        <f t="shared" si="28"/>
        <v>May/2024</v>
      </c>
      <c r="J933">
        <f t="shared" si="29"/>
        <v>471859.7200000002</v>
      </c>
    </row>
    <row r="934" spans="1:10" hidden="1">
      <c r="A934">
        <v>933</v>
      </c>
      <c r="B934">
        <v>15</v>
      </c>
      <c r="C934" t="s">
        <v>19</v>
      </c>
      <c r="D934" s="1">
        <v>45428</v>
      </c>
      <c r="E934" t="s">
        <v>15</v>
      </c>
      <c r="F934" t="s">
        <v>10</v>
      </c>
      <c r="G934" t="s">
        <v>11</v>
      </c>
      <c r="H934">
        <v>121.96</v>
      </c>
      <c r="I934" t="str">
        <f t="shared" si="28"/>
        <v>May/2024</v>
      </c>
      <c r="J934">
        <f t="shared" si="29"/>
        <v>471981.68000000023</v>
      </c>
    </row>
    <row r="935" spans="1:10" hidden="1">
      <c r="A935">
        <v>934</v>
      </c>
      <c r="B935">
        <v>62</v>
      </c>
      <c r="C935" t="s">
        <v>19</v>
      </c>
      <c r="D935" s="1">
        <v>45418</v>
      </c>
      <c r="E935" t="s">
        <v>26</v>
      </c>
      <c r="F935" t="s">
        <v>10</v>
      </c>
      <c r="G935" t="s">
        <v>20</v>
      </c>
      <c r="H935">
        <v>267.64</v>
      </c>
      <c r="I935" t="str">
        <f t="shared" si="28"/>
        <v>May/2024</v>
      </c>
      <c r="J935">
        <f t="shared" si="29"/>
        <v>472249.32000000024</v>
      </c>
    </row>
    <row r="936" spans="1:10" hidden="1">
      <c r="A936">
        <v>935</v>
      </c>
      <c r="B936">
        <v>46</v>
      </c>
      <c r="C936" t="s">
        <v>8</v>
      </c>
      <c r="D936" s="1">
        <v>45310</v>
      </c>
      <c r="E936" t="s">
        <v>26</v>
      </c>
      <c r="F936" t="s">
        <v>18</v>
      </c>
      <c r="G936" t="s">
        <v>16</v>
      </c>
      <c r="H936">
        <v>298.02999999999997</v>
      </c>
      <c r="I936" t="str">
        <f t="shared" si="28"/>
        <v>Jan/2024</v>
      </c>
      <c r="J936">
        <f t="shared" si="29"/>
        <v>472547.35000000027</v>
      </c>
    </row>
    <row r="937" spans="1:10" hidden="1">
      <c r="A937">
        <v>936</v>
      </c>
      <c r="B937">
        <v>7</v>
      </c>
      <c r="C937" t="s">
        <v>19</v>
      </c>
      <c r="D937" s="1">
        <v>45325</v>
      </c>
      <c r="E937" t="s">
        <v>9</v>
      </c>
      <c r="F937" t="s">
        <v>21</v>
      </c>
      <c r="G937" t="s">
        <v>16</v>
      </c>
      <c r="H937">
        <v>604.72</v>
      </c>
      <c r="I937" t="str">
        <f t="shared" si="28"/>
        <v>Feb/2024</v>
      </c>
      <c r="J937">
        <f t="shared" si="29"/>
        <v>473152.07000000024</v>
      </c>
    </row>
    <row r="938" spans="1:10" hidden="1">
      <c r="A938">
        <v>937</v>
      </c>
      <c r="B938">
        <v>94</v>
      </c>
      <c r="C938" t="s">
        <v>8</v>
      </c>
      <c r="D938" s="1">
        <v>45400</v>
      </c>
      <c r="E938" t="s">
        <v>15</v>
      </c>
      <c r="F938" t="s">
        <v>18</v>
      </c>
      <c r="G938" t="s">
        <v>20</v>
      </c>
      <c r="H938">
        <v>749.05</v>
      </c>
      <c r="I938" t="str">
        <f t="shared" si="28"/>
        <v>Apr/2024</v>
      </c>
      <c r="J938">
        <f t="shared" si="29"/>
        <v>473901.12000000023</v>
      </c>
    </row>
    <row r="939" spans="1:10" hidden="1">
      <c r="A939">
        <v>938</v>
      </c>
      <c r="B939">
        <v>38</v>
      </c>
      <c r="C939" t="s">
        <v>8</v>
      </c>
      <c r="D939" s="1">
        <v>45390</v>
      </c>
      <c r="E939" t="s">
        <v>26</v>
      </c>
      <c r="F939" t="s">
        <v>10</v>
      </c>
      <c r="G939" t="s">
        <v>20</v>
      </c>
      <c r="H939">
        <v>499.34</v>
      </c>
      <c r="I939" t="str">
        <f t="shared" si="28"/>
        <v>Apr/2024</v>
      </c>
      <c r="J939">
        <f t="shared" si="29"/>
        <v>474400.46000000025</v>
      </c>
    </row>
    <row r="940" spans="1:10" hidden="1">
      <c r="A940">
        <v>939</v>
      </c>
      <c r="B940">
        <v>92</v>
      </c>
      <c r="C940" t="s">
        <v>19</v>
      </c>
      <c r="D940" s="1">
        <v>45338</v>
      </c>
      <c r="E940" t="s">
        <v>15</v>
      </c>
      <c r="F940" t="s">
        <v>21</v>
      </c>
      <c r="G940" t="s">
        <v>11</v>
      </c>
      <c r="H940">
        <v>590.85</v>
      </c>
      <c r="I940" t="str">
        <f t="shared" si="28"/>
        <v>Feb/2024</v>
      </c>
      <c r="J940">
        <f t="shared" si="29"/>
        <v>474991.31000000023</v>
      </c>
    </row>
    <row r="941" spans="1:10" hidden="1">
      <c r="A941">
        <v>940</v>
      </c>
      <c r="B941">
        <v>29</v>
      </c>
      <c r="C941" t="s">
        <v>12</v>
      </c>
      <c r="D941" s="1">
        <v>45383</v>
      </c>
      <c r="E941" t="s">
        <v>15</v>
      </c>
      <c r="F941" t="s">
        <v>10</v>
      </c>
      <c r="G941" t="s">
        <v>20</v>
      </c>
      <c r="H941">
        <v>355.6</v>
      </c>
      <c r="I941" t="str">
        <f t="shared" si="28"/>
        <v>Apr/2024</v>
      </c>
      <c r="J941">
        <f t="shared" si="29"/>
        <v>475346.91000000021</v>
      </c>
    </row>
    <row r="942" spans="1:10" hidden="1">
      <c r="A942">
        <v>941</v>
      </c>
      <c r="B942">
        <v>46</v>
      </c>
      <c r="C942" t="s">
        <v>8</v>
      </c>
      <c r="D942" s="1">
        <v>45318</v>
      </c>
      <c r="E942" t="s">
        <v>9</v>
      </c>
      <c r="F942" t="s">
        <v>10</v>
      </c>
      <c r="G942" t="s">
        <v>11</v>
      </c>
      <c r="H942">
        <v>266.97000000000003</v>
      </c>
      <c r="I942" t="str">
        <f t="shared" si="28"/>
        <v>Jan/2024</v>
      </c>
      <c r="J942">
        <f t="shared" si="29"/>
        <v>475613.88000000018</v>
      </c>
    </row>
    <row r="943" spans="1:10" hidden="1">
      <c r="A943">
        <v>942</v>
      </c>
      <c r="B943">
        <v>46</v>
      </c>
      <c r="C943" t="s">
        <v>8</v>
      </c>
      <c r="D943" s="1">
        <v>45441</v>
      </c>
      <c r="E943" t="s">
        <v>26</v>
      </c>
      <c r="F943" t="s">
        <v>18</v>
      </c>
      <c r="G943" t="s">
        <v>11</v>
      </c>
      <c r="H943">
        <v>160.08000000000001</v>
      </c>
      <c r="I943" t="str">
        <f t="shared" si="28"/>
        <v>May/2024</v>
      </c>
      <c r="J943">
        <f t="shared" si="29"/>
        <v>475773.9600000002</v>
      </c>
    </row>
    <row r="944" spans="1:10" hidden="1">
      <c r="A944">
        <v>943</v>
      </c>
      <c r="B944">
        <v>79</v>
      </c>
      <c r="C944" t="s">
        <v>19</v>
      </c>
      <c r="D944" s="1">
        <v>45399</v>
      </c>
      <c r="E944" t="s">
        <v>15</v>
      </c>
      <c r="F944" t="s">
        <v>21</v>
      </c>
      <c r="G944" t="s">
        <v>20</v>
      </c>
      <c r="H944">
        <v>827.64</v>
      </c>
      <c r="I944" t="str">
        <f t="shared" si="28"/>
        <v>Apr/2024</v>
      </c>
      <c r="J944">
        <f t="shared" si="29"/>
        <v>476601.60000000021</v>
      </c>
    </row>
    <row r="945" spans="1:10" hidden="1">
      <c r="A945">
        <v>944</v>
      </c>
      <c r="B945">
        <v>72</v>
      </c>
      <c r="C945" t="s">
        <v>12</v>
      </c>
      <c r="D945" s="1">
        <v>45362</v>
      </c>
      <c r="E945" t="s">
        <v>26</v>
      </c>
      <c r="F945" t="s">
        <v>10</v>
      </c>
      <c r="G945" t="s">
        <v>20</v>
      </c>
      <c r="H945">
        <v>19.829999999999998</v>
      </c>
      <c r="I945" t="str">
        <f t="shared" si="28"/>
        <v>Mar/2024</v>
      </c>
      <c r="J945">
        <f t="shared" si="29"/>
        <v>476621.43000000023</v>
      </c>
    </row>
    <row r="946" spans="1:10" hidden="1">
      <c r="A946">
        <v>945</v>
      </c>
      <c r="B946">
        <v>10</v>
      </c>
      <c r="C946" t="s">
        <v>19</v>
      </c>
      <c r="D946" s="1">
        <v>45436</v>
      </c>
      <c r="E946" t="s">
        <v>26</v>
      </c>
      <c r="F946" t="s">
        <v>10</v>
      </c>
      <c r="G946" t="s">
        <v>11</v>
      </c>
      <c r="H946">
        <v>989.49</v>
      </c>
      <c r="I946" t="str">
        <f t="shared" si="28"/>
        <v>May/2024</v>
      </c>
      <c r="J946">
        <f t="shared" si="29"/>
        <v>477610.92000000022</v>
      </c>
    </row>
    <row r="947" spans="1:10" hidden="1">
      <c r="A947">
        <v>946</v>
      </c>
      <c r="B947">
        <v>87</v>
      </c>
      <c r="C947" t="s">
        <v>19</v>
      </c>
      <c r="D947" s="1">
        <v>45354</v>
      </c>
      <c r="E947" t="s">
        <v>15</v>
      </c>
      <c r="F947" t="s">
        <v>10</v>
      </c>
      <c r="G947" t="s">
        <v>20</v>
      </c>
      <c r="H947">
        <v>133.9</v>
      </c>
      <c r="I947" t="str">
        <f t="shared" si="28"/>
        <v>Mar/2024</v>
      </c>
      <c r="J947">
        <f t="shared" si="29"/>
        <v>477744.82000000024</v>
      </c>
    </row>
    <row r="948" spans="1:10" hidden="1">
      <c r="A948">
        <v>947</v>
      </c>
      <c r="B948">
        <v>6</v>
      </c>
      <c r="C948" t="s">
        <v>19</v>
      </c>
      <c r="D948" s="1">
        <v>45354</v>
      </c>
      <c r="E948" t="s">
        <v>15</v>
      </c>
      <c r="F948" t="s">
        <v>21</v>
      </c>
      <c r="G948" t="s">
        <v>11</v>
      </c>
      <c r="H948">
        <v>739.33</v>
      </c>
      <c r="I948" t="str">
        <f t="shared" si="28"/>
        <v>Mar/2024</v>
      </c>
      <c r="J948">
        <f t="shared" si="29"/>
        <v>478484.15000000026</v>
      </c>
    </row>
    <row r="949" spans="1:10" hidden="1">
      <c r="A949">
        <v>948</v>
      </c>
      <c r="B949">
        <v>70</v>
      </c>
      <c r="C949" t="s">
        <v>8</v>
      </c>
      <c r="D949" s="1">
        <v>45338</v>
      </c>
      <c r="E949" t="s">
        <v>9</v>
      </c>
      <c r="F949" t="s">
        <v>21</v>
      </c>
      <c r="G949" t="s">
        <v>16</v>
      </c>
      <c r="H949">
        <v>947.83</v>
      </c>
      <c r="I949" t="str">
        <f t="shared" si="28"/>
        <v>Feb/2024</v>
      </c>
      <c r="J949">
        <f t="shared" si="29"/>
        <v>479431.98000000027</v>
      </c>
    </row>
    <row r="950" spans="1:10" hidden="1">
      <c r="A950">
        <v>949</v>
      </c>
      <c r="B950">
        <v>60</v>
      </c>
      <c r="C950" t="s">
        <v>8</v>
      </c>
      <c r="D950" s="1">
        <v>45393</v>
      </c>
      <c r="E950" t="s">
        <v>26</v>
      </c>
      <c r="F950" t="s">
        <v>18</v>
      </c>
      <c r="G950" t="s">
        <v>16</v>
      </c>
      <c r="H950">
        <v>743.44</v>
      </c>
      <c r="I950" t="str">
        <f t="shared" si="28"/>
        <v>Apr/2024</v>
      </c>
      <c r="J950">
        <f t="shared" si="29"/>
        <v>480175.42000000027</v>
      </c>
    </row>
    <row r="951" spans="1:10" hidden="1">
      <c r="A951">
        <v>950</v>
      </c>
      <c r="B951">
        <v>23</v>
      </c>
      <c r="C951" t="s">
        <v>8</v>
      </c>
      <c r="D951" s="1">
        <v>45345</v>
      </c>
      <c r="E951" t="s">
        <v>26</v>
      </c>
      <c r="F951" t="s">
        <v>18</v>
      </c>
      <c r="G951" t="s">
        <v>16</v>
      </c>
      <c r="H951">
        <v>534.79</v>
      </c>
      <c r="I951" t="str">
        <f t="shared" si="28"/>
        <v>Feb/2024</v>
      </c>
      <c r="J951">
        <f t="shared" si="29"/>
        <v>480710.21000000025</v>
      </c>
    </row>
    <row r="952" spans="1:10" hidden="1">
      <c r="A952">
        <v>951</v>
      </c>
      <c r="B952">
        <v>2</v>
      </c>
      <c r="C952" t="s">
        <v>12</v>
      </c>
      <c r="D952" s="1">
        <v>45451</v>
      </c>
      <c r="E952" t="s">
        <v>15</v>
      </c>
      <c r="F952" t="s">
        <v>21</v>
      </c>
      <c r="G952" t="s">
        <v>11</v>
      </c>
      <c r="H952">
        <v>479.56</v>
      </c>
      <c r="I952" t="str">
        <f t="shared" si="28"/>
        <v>Jun/2024</v>
      </c>
      <c r="J952">
        <f t="shared" si="29"/>
        <v>481189.77000000025</v>
      </c>
    </row>
    <row r="953" spans="1:10" hidden="1">
      <c r="A953">
        <v>952</v>
      </c>
      <c r="B953">
        <v>23</v>
      </c>
      <c r="C953" t="s">
        <v>8</v>
      </c>
      <c r="D953" s="1">
        <v>45348</v>
      </c>
      <c r="E953" t="s">
        <v>26</v>
      </c>
      <c r="F953" t="s">
        <v>18</v>
      </c>
      <c r="G953" t="s">
        <v>11</v>
      </c>
      <c r="H953">
        <v>87.89</v>
      </c>
      <c r="I953" t="str">
        <f t="shared" si="28"/>
        <v>Feb/2024</v>
      </c>
      <c r="J953">
        <f t="shared" si="29"/>
        <v>481277.66000000027</v>
      </c>
    </row>
    <row r="954" spans="1:10">
      <c r="A954">
        <v>953</v>
      </c>
      <c r="B954">
        <v>81</v>
      </c>
      <c r="C954" t="s">
        <v>12</v>
      </c>
      <c r="D954" s="1">
        <v>45378</v>
      </c>
      <c r="E954" t="s">
        <v>26</v>
      </c>
      <c r="F954" t="s">
        <v>10</v>
      </c>
      <c r="G954" t="s">
        <v>20</v>
      </c>
      <c r="H954">
        <v>571.61</v>
      </c>
      <c r="I954" t="str">
        <f t="shared" si="28"/>
        <v>Mar/2024</v>
      </c>
      <c r="J954">
        <f t="shared" si="29"/>
        <v>481849.27000000025</v>
      </c>
    </row>
    <row r="955" spans="1:10" hidden="1">
      <c r="A955">
        <v>954</v>
      </c>
      <c r="B955">
        <v>46</v>
      </c>
      <c r="C955" t="s">
        <v>8</v>
      </c>
      <c r="D955" s="1">
        <v>45460</v>
      </c>
      <c r="E955" t="s">
        <v>26</v>
      </c>
      <c r="F955" t="s">
        <v>21</v>
      </c>
      <c r="G955" t="s">
        <v>11</v>
      </c>
      <c r="H955">
        <v>485.1</v>
      </c>
      <c r="I955" t="str">
        <f t="shared" si="28"/>
        <v>Jun/2024</v>
      </c>
      <c r="J955">
        <f t="shared" si="29"/>
        <v>482334.37000000023</v>
      </c>
    </row>
    <row r="956" spans="1:10" hidden="1">
      <c r="A956">
        <v>955</v>
      </c>
      <c r="B956">
        <v>85</v>
      </c>
      <c r="C956" t="s">
        <v>12</v>
      </c>
      <c r="D956" s="1">
        <v>45350</v>
      </c>
      <c r="E956" t="s">
        <v>15</v>
      </c>
      <c r="F956" t="s">
        <v>10</v>
      </c>
      <c r="G956" t="s">
        <v>20</v>
      </c>
      <c r="H956">
        <v>289.68</v>
      </c>
      <c r="I956" t="str">
        <f t="shared" si="28"/>
        <v>Feb/2024</v>
      </c>
      <c r="J956">
        <f t="shared" si="29"/>
        <v>482624.05000000022</v>
      </c>
    </row>
    <row r="957" spans="1:10" hidden="1">
      <c r="A957">
        <v>956</v>
      </c>
      <c r="B957">
        <v>43</v>
      </c>
      <c r="C957" t="s">
        <v>12</v>
      </c>
      <c r="D957" s="1">
        <v>45352</v>
      </c>
      <c r="E957" t="s">
        <v>26</v>
      </c>
      <c r="F957" t="s">
        <v>18</v>
      </c>
      <c r="G957" t="s">
        <v>20</v>
      </c>
      <c r="H957">
        <v>962.48</v>
      </c>
      <c r="I957" t="str">
        <f t="shared" si="28"/>
        <v>Mar/2024</v>
      </c>
      <c r="J957">
        <f t="shared" si="29"/>
        <v>483586.5300000002</v>
      </c>
    </row>
    <row r="958" spans="1:10" hidden="1">
      <c r="A958">
        <v>957</v>
      </c>
      <c r="B958">
        <v>13</v>
      </c>
      <c r="C958" t="s">
        <v>8</v>
      </c>
      <c r="D958" s="1">
        <v>45439</v>
      </c>
      <c r="E958" t="s">
        <v>15</v>
      </c>
      <c r="F958" t="s">
        <v>10</v>
      </c>
      <c r="G958" t="s">
        <v>16</v>
      </c>
      <c r="H958">
        <v>13.19</v>
      </c>
      <c r="I958" t="str">
        <f t="shared" si="28"/>
        <v>May/2024</v>
      </c>
      <c r="J958">
        <f t="shared" si="29"/>
        <v>483599.7200000002</v>
      </c>
    </row>
    <row r="959" spans="1:10" hidden="1">
      <c r="A959">
        <v>958</v>
      </c>
      <c r="B959">
        <v>25</v>
      </c>
      <c r="C959" t="s">
        <v>8</v>
      </c>
      <c r="D959" s="1">
        <v>45385</v>
      </c>
      <c r="E959" t="s">
        <v>9</v>
      </c>
      <c r="F959" t="s">
        <v>18</v>
      </c>
      <c r="G959" t="s">
        <v>11</v>
      </c>
      <c r="H959">
        <v>298.81</v>
      </c>
      <c r="I959" t="str">
        <f t="shared" si="28"/>
        <v>Apr/2024</v>
      </c>
      <c r="J959">
        <f t="shared" si="29"/>
        <v>483898.5300000002</v>
      </c>
    </row>
    <row r="960" spans="1:10" hidden="1">
      <c r="A960">
        <v>959</v>
      </c>
      <c r="B960">
        <v>53</v>
      </c>
      <c r="C960" t="s">
        <v>19</v>
      </c>
      <c r="D960" s="1">
        <v>45409</v>
      </c>
      <c r="E960" t="s">
        <v>9</v>
      </c>
      <c r="F960" t="s">
        <v>18</v>
      </c>
      <c r="G960" t="s">
        <v>16</v>
      </c>
      <c r="H960">
        <v>916.49</v>
      </c>
      <c r="I960" t="str">
        <f t="shared" si="28"/>
        <v>Apr/2024</v>
      </c>
      <c r="J960">
        <f t="shared" si="29"/>
        <v>484815.02000000019</v>
      </c>
    </row>
    <row r="961" spans="1:10" hidden="1">
      <c r="A961">
        <v>960</v>
      </c>
      <c r="B961">
        <v>59</v>
      </c>
      <c r="C961" t="s">
        <v>19</v>
      </c>
      <c r="D961" s="1">
        <v>45370</v>
      </c>
      <c r="E961" t="s">
        <v>15</v>
      </c>
      <c r="F961" t="s">
        <v>18</v>
      </c>
      <c r="G961" t="s">
        <v>16</v>
      </c>
      <c r="H961">
        <v>15.96</v>
      </c>
      <c r="I961" t="str">
        <f t="shared" si="28"/>
        <v>Mar/2024</v>
      </c>
      <c r="J961">
        <f t="shared" si="29"/>
        <v>484830.98000000021</v>
      </c>
    </row>
    <row r="962" spans="1:10" hidden="1">
      <c r="A962">
        <v>961</v>
      </c>
      <c r="B962">
        <v>3</v>
      </c>
      <c r="C962" t="s">
        <v>8</v>
      </c>
      <c r="D962" s="1">
        <v>45380</v>
      </c>
      <c r="E962" t="s">
        <v>9</v>
      </c>
      <c r="F962" t="s">
        <v>21</v>
      </c>
      <c r="G962" t="s">
        <v>11</v>
      </c>
      <c r="H962">
        <v>383.65</v>
      </c>
      <c r="I962" t="str">
        <f t="shared" si="28"/>
        <v>Mar/2024</v>
      </c>
      <c r="J962">
        <f t="shared" si="29"/>
        <v>485214.63000000024</v>
      </c>
    </row>
    <row r="963" spans="1:10" hidden="1">
      <c r="A963">
        <v>962</v>
      </c>
      <c r="B963">
        <v>78</v>
      </c>
      <c r="C963" t="s">
        <v>19</v>
      </c>
      <c r="D963" s="1">
        <v>45321</v>
      </c>
      <c r="E963" t="s">
        <v>9</v>
      </c>
      <c r="F963" t="s">
        <v>18</v>
      </c>
      <c r="G963" t="s">
        <v>20</v>
      </c>
      <c r="H963">
        <v>612.25</v>
      </c>
      <c r="I963" t="str">
        <f t="shared" ref="I963:I1001" si="30">TEXT(D963,"mmm/yyyy")</f>
        <v>Jan/2024</v>
      </c>
      <c r="J963">
        <f t="shared" si="29"/>
        <v>485826.88000000024</v>
      </c>
    </row>
    <row r="964" spans="1:10" hidden="1">
      <c r="A964">
        <v>963</v>
      </c>
      <c r="B964">
        <v>51</v>
      </c>
      <c r="C964" t="s">
        <v>19</v>
      </c>
      <c r="D964" s="1">
        <v>45438</v>
      </c>
      <c r="E964" t="s">
        <v>9</v>
      </c>
      <c r="F964" t="s">
        <v>10</v>
      </c>
      <c r="G964" t="s">
        <v>16</v>
      </c>
      <c r="H964">
        <v>142</v>
      </c>
      <c r="I964" t="str">
        <f t="shared" si="30"/>
        <v>May/2024</v>
      </c>
      <c r="J964">
        <f t="shared" ref="J964:J1001" si="31">J963+H964</f>
        <v>485968.88000000024</v>
      </c>
    </row>
    <row r="965" spans="1:10" hidden="1">
      <c r="A965">
        <v>964</v>
      </c>
      <c r="B965">
        <v>45</v>
      </c>
      <c r="C965" t="s">
        <v>12</v>
      </c>
      <c r="D965" s="1">
        <v>45335</v>
      </c>
      <c r="E965" t="s">
        <v>9</v>
      </c>
      <c r="F965" t="s">
        <v>18</v>
      </c>
      <c r="G965" t="s">
        <v>20</v>
      </c>
      <c r="H965">
        <v>685.35</v>
      </c>
      <c r="I965" t="str">
        <f t="shared" si="30"/>
        <v>Feb/2024</v>
      </c>
      <c r="J965">
        <f t="shared" si="31"/>
        <v>486654.23000000021</v>
      </c>
    </row>
    <row r="966" spans="1:10" hidden="1">
      <c r="A966">
        <v>965</v>
      </c>
      <c r="B966">
        <v>45</v>
      </c>
      <c r="C966" t="s">
        <v>12</v>
      </c>
      <c r="D966" s="1">
        <v>45465</v>
      </c>
      <c r="E966" t="s">
        <v>15</v>
      </c>
      <c r="F966" t="s">
        <v>18</v>
      </c>
      <c r="G966" t="s">
        <v>11</v>
      </c>
      <c r="H966">
        <v>358.46</v>
      </c>
      <c r="I966" t="str">
        <f t="shared" si="30"/>
        <v>Jun/2024</v>
      </c>
      <c r="J966">
        <f t="shared" si="31"/>
        <v>487012.69000000024</v>
      </c>
    </row>
    <row r="967" spans="1:10" hidden="1">
      <c r="A967">
        <v>966</v>
      </c>
      <c r="B967">
        <v>54</v>
      </c>
      <c r="C967" t="s">
        <v>12</v>
      </c>
      <c r="D967" s="1">
        <v>45380</v>
      </c>
      <c r="E967" t="s">
        <v>15</v>
      </c>
      <c r="F967" t="s">
        <v>21</v>
      </c>
      <c r="G967" t="s">
        <v>11</v>
      </c>
      <c r="H967">
        <v>310.35000000000002</v>
      </c>
      <c r="I967" t="str">
        <f t="shared" si="30"/>
        <v>Mar/2024</v>
      </c>
      <c r="J967">
        <f t="shared" si="31"/>
        <v>487323.04000000021</v>
      </c>
    </row>
    <row r="968" spans="1:10">
      <c r="A968">
        <v>967</v>
      </c>
      <c r="B968">
        <v>81</v>
      </c>
      <c r="C968" t="s">
        <v>12</v>
      </c>
      <c r="D968" s="1">
        <v>45364</v>
      </c>
      <c r="E968" t="s">
        <v>15</v>
      </c>
      <c r="F968" t="s">
        <v>21</v>
      </c>
      <c r="G968" t="s">
        <v>20</v>
      </c>
      <c r="H968">
        <v>610.75</v>
      </c>
      <c r="I968" t="str">
        <f t="shared" si="30"/>
        <v>Mar/2024</v>
      </c>
      <c r="J968">
        <f t="shared" si="31"/>
        <v>487933.79000000021</v>
      </c>
    </row>
    <row r="969" spans="1:10" hidden="1">
      <c r="A969">
        <v>968</v>
      </c>
      <c r="B969">
        <v>92</v>
      </c>
      <c r="C969" t="s">
        <v>8</v>
      </c>
      <c r="D969" s="1">
        <v>45354</v>
      </c>
      <c r="E969" t="s">
        <v>15</v>
      </c>
      <c r="F969" t="s">
        <v>21</v>
      </c>
      <c r="G969" t="s">
        <v>11</v>
      </c>
      <c r="H969">
        <v>523.61</v>
      </c>
      <c r="I969" t="str">
        <f t="shared" si="30"/>
        <v>Mar/2024</v>
      </c>
      <c r="J969">
        <f t="shared" si="31"/>
        <v>488457.4000000002</v>
      </c>
    </row>
    <row r="970" spans="1:10" hidden="1">
      <c r="A970">
        <v>969</v>
      </c>
      <c r="B970">
        <v>6</v>
      </c>
      <c r="C970" t="s">
        <v>8</v>
      </c>
      <c r="D970" s="1">
        <v>45366</v>
      </c>
      <c r="E970" t="s">
        <v>26</v>
      </c>
      <c r="F970" t="s">
        <v>10</v>
      </c>
      <c r="G970" t="s">
        <v>20</v>
      </c>
      <c r="H970">
        <v>945.17</v>
      </c>
      <c r="I970" t="str">
        <f t="shared" si="30"/>
        <v>Mar/2024</v>
      </c>
      <c r="J970">
        <f t="shared" si="31"/>
        <v>489402.57000000018</v>
      </c>
    </row>
    <row r="971" spans="1:10" hidden="1">
      <c r="A971">
        <v>970</v>
      </c>
      <c r="B971">
        <v>33</v>
      </c>
      <c r="C971" t="s">
        <v>8</v>
      </c>
      <c r="D971" s="1">
        <v>45319</v>
      </c>
      <c r="E971" t="s">
        <v>15</v>
      </c>
      <c r="F971" t="s">
        <v>10</v>
      </c>
      <c r="G971" t="s">
        <v>11</v>
      </c>
      <c r="H971">
        <v>708.97</v>
      </c>
      <c r="I971" t="str">
        <f t="shared" si="30"/>
        <v>Jan/2024</v>
      </c>
      <c r="J971">
        <f t="shared" si="31"/>
        <v>490111.54000000015</v>
      </c>
    </row>
    <row r="972" spans="1:10" hidden="1">
      <c r="A972">
        <v>971</v>
      </c>
      <c r="B972">
        <v>50</v>
      </c>
      <c r="C972" t="s">
        <v>19</v>
      </c>
      <c r="D972" s="1">
        <v>45389</v>
      </c>
      <c r="E972" t="s">
        <v>9</v>
      </c>
      <c r="F972" t="s">
        <v>10</v>
      </c>
      <c r="G972" t="s">
        <v>16</v>
      </c>
      <c r="H972">
        <v>309.87</v>
      </c>
      <c r="I972" t="str">
        <f t="shared" si="30"/>
        <v>Apr/2024</v>
      </c>
      <c r="J972">
        <f t="shared" si="31"/>
        <v>490421.41000000015</v>
      </c>
    </row>
    <row r="973" spans="1:10" hidden="1">
      <c r="A973">
        <v>972</v>
      </c>
      <c r="B973">
        <v>97</v>
      </c>
      <c r="C973" t="s">
        <v>19</v>
      </c>
      <c r="D973" s="1">
        <v>45295</v>
      </c>
      <c r="E973" t="s">
        <v>26</v>
      </c>
      <c r="F973" t="s">
        <v>18</v>
      </c>
      <c r="G973" t="s">
        <v>20</v>
      </c>
      <c r="H973">
        <v>565.48</v>
      </c>
      <c r="I973" t="str">
        <f t="shared" si="30"/>
        <v>Jan/2024</v>
      </c>
      <c r="J973">
        <f t="shared" si="31"/>
        <v>490986.89000000013</v>
      </c>
    </row>
    <row r="974" spans="1:10" hidden="1">
      <c r="A974">
        <v>973</v>
      </c>
      <c r="B974">
        <v>14</v>
      </c>
      <c r="C974" t="s">
        <v>8</v>
      </c>
      <c r="D974" s="1">
        <v>45457</v>
      </c>
      <c r="E974" t="s">
        <v>26</v>
      </c>
      <c r="F974" t="s">
        <v>18</v>
      </c>
      <c r="G974" t="s">
        <v>16</v>
      </c>
      <c r="H974">
        <v>859.52</v>
      </c>
      <c r="I974" t="str">
        <f t="shared" si="30"/>
        <v>Jun/2024</v>
      </c>
      <c r="J974">
        <f t="shared" si="31"/>
        <v>491846.41000000015</v>
      </c>
    </row>
    <row r="975" spans="1:10" hidden="1">
      <c r="A975">
        <v>974</v>
      </c>
      <c r="B975">
        <v>39</v>
      </c>
      <c r="C975" t="s">
        <v>19</v>
      </c>
      <c r="D975" s="1">
        <v>45312</v>
      </c>
      <c r="E975" t="s">
        <v>15</v>
      </c>
      <c r="F975" t="s">
        <v>18</v>
      </c>
      <c r="G975" t="s">
        <v>20</v>
      </c>
      <c r="H975">
        <v>140.02000000000001</v>
      </c>
      <c r="I975" t="str">
        <f t="shared" si="30"/>
        <v>Jan/2024</v>
      </c>
      <c r="J975">
        <f t="shared" si="31"/>
        <v>491986.43000000017</v>
      </c>
    </row>
    <row r="976" spans="1:10" hidden="1">
      <c r="A976">
        <v>975</v>
      </c>
      <c r="B976">
        <v>3</v>
      </c>
      <c r="C976" t="s">
        <v>12</v>
      </c>
      <c r="D976" s="1">
        <v>45292</v>
      </c>
      <c r="E976" t="s">
        <v>9</v>
      </c>
      <c r="F976" t="s">
        <v>21</v>
      </c>
      <c r="G976" t="s">
        <v>16</v>
      </c>
      <c r="H976">
        <v>626.35</v>
      </c>
      <c r="I976" t="str">
        <f t="shared" si="30"/>
        <v>Jan/2024</v>
      </c>
      <c r="J976">
        <f t="shared" si="31"/>
        <v>492612.78000000014</v>
      </c>
    </row>
    <row r="977" spans="1:10" hidden="1">
      <c r="A977">
        <v>976</v>
      </c>
      <c r="B977">
        <v>79</v>
      </c>
      <c r="C977" t="s">
        <v>19</v>
      </c>
      <c r="D977" s="1">
        <v>45430</v>
      </c>
      <c r="E977" t="s">
        <v>9</v>
      </c>
      <c r="F977" t="s">
        <v>21</v>
      </c>
      <c r="G977" t="s">
        <v>11</v>
      </c>
      <c r="H977">
        <v>807.32</v>
      </c>
      <c r="I977" t="str">
        <f t="shared" si="30"/>
        <v>May/2024</v>
      </c>
      <c r="J977">
        <f t="shared" si="31"/>
        <v>493420.10000000015</v>
      </c>
    </row>
    <row r="978" spans="1:10" hidden="1">
      <c r="A978">
        <v>977</v>
      </c>
      <c r="B978">
        <v>96</v>
      </c>
      <c r="C978" t="s">
        <v>8</v>
      </c>
      <c r="D978" s="1">
        <v>45451</v>
      </c>
      <c r="E978" t="s">
        <v>15</v>
      </c>
      <c r="F978" t="s">
        <v>18</v>
      </c>
      <c r="G978" t="s">
        <v>16</v>
      </c>
      <c r="H978">
        <v>888.55</v>
      </c>
      <c r="I978" t="str">
        <f t="shared" si="30"/>
        <v>Jun/2024</v>
      </c>
      <c r="J978">
        <f t="shared" si="31"/>
        <v>494308.65000000014</v>
      </c>
    </row>
    <row r="979" spans="1:10" hidden="1">
      <c r="A979">
        <v>978</v>
      </c>
      <c r="B979">
        <v>57</v>
      </c>
      <c r="C979" t="s">
        <v>12</v>
      </c>
      <c r="D979" s="1">
        <v>45320</v>
      </c>
      <c r="E979" t="s">
        <v>9</v>
      </c>
      <c r="F979" t="s">
        <v>21</v>
      </c>
      <c r="G979" t="s">
        <v>16</v>
      </c>
      <c r="H979">
        <v>440.85</v>
      </c>
      <c r="I979" t="str">
        <f t="shared" si="30"/>
        <v>Jan/2024</v>
      </c>
      <c r="J979">
        <f t="shared" si="31"/>
        <v>494749.50000000012</v>
      </c>
    </row>
    <row r="980" spans="1:10" hidden="1">
      <c r="A980">
        <v>979</v>
      </c>
      <c r="B980">
        <v>1</v>
      </c>
      <c r="C980" t="s">
        <v>12</v>
      </c>
      <c r="D980" s="1">
        <v>45302</v>
      </c>
      <c r="E980" t="s">
        <v>15</v>
      </c>
      <c r="F980" t="s">
        <v>18</v>
      </c>
      <c r="G980" t="s">
        <v>20</v>
      </c>
      <c r="H980">
        <v>652.97</v>
      </c>
      <c r="I980" t="str">
        <f t="shared" si="30"/>
        <v>Jan/2024</v>
      </c>
      <c r="J980">
        <f t="shared" si="31"/>
        <v>495402.47000000009</v>
      </c>
    </row>
    <row r="981" spans="1:10" hidden="1">
      <c r="A981">
        <v>980</v>
      </c>
      <c r="B981">
        <v>39</v>
      </c>
      <c r="C981" t="s">
        <v>12</v>
      </c>
      <c r="D981" s="1">
        <v>45351</v>
      </c>
      <c r="E981" t="s">
        <v>15</v>
      </c>
      <c r="F981" t="s">
        <v>21</v>
      </c>
      <c r="G981" t="s">
        <v>11</v>
      </c>
      <c r="H981">
        <v>725.44</v>
      </c>
      <c r="I981" t="str">
        <f t="shared" si="30"/>
        <v>Feb/2024</v>
      </c>
      <c r="J981">
        <f t="shared" si="31"/>
        <v>496127.91000000009</v>
      </c>
    </row>
    <row r="982" spans="1:10" hidden="1">
      <c r="A982">
        <v>981</v>
      </c>
      <c r="B982">
        <v>75</v>
      </c>
      <c r="C982" t="s">
        <v>19</v>
      </c>
      <c r="D982" s="1">
        <v>45307</v>
      </c>
      <c r="E982" t="s">
        <v>15</v>
      </c>
      <c r="F982" t="s">
        <v>10</v>
      </c>
      <c r="G982" t="s">
        <v>20</v>
      </c>
      <c r="H982">
        <v>843.66</v>
      </c>
      <c r="I982" t="str">
        <f t="shared" si="30"/>
        <v>Jan/2024</v>
      </c>
      <c r="J982">
        <f t="shared" si="31"/>
        <v>496971.57000000007</v>
      </c>
    </row>
    <row r="983" spans="1:10" hidden="1">
      <c r="A983">
        <v>982</v>
      </c>
      <c r="B983">
        <v>9</v>
      </c>
      <c r="C983" t="s">
        <v>19</v>
      </c>
      <c r="D983" s="1">
        <v>45366</v>
      </c>
      <c r="E983" t="s">
        <v>9</v>
      </c>
      <c r="F983" t="s">
        <v>21</v>
      </c>
      <c r="G983" t="s">
        <v>11</v>
      </c>
      <c r="H983">
        <v>611.79999999999995</v>
      </c>
      <c r="I983" t="str">
        <f t="shared" si="30"/>
        <v>Mar/2024</v>
      </c>
      <c r="J983">
        <f t="shared" si="31"/>
        <v>497583.37000000005</v>
      </c>
    </row>
    <row r="984" spans="1:10" hidden="1">
      <c r="A984">
        <v>983</v>
      </c>
      <c r="B984">
        <v>76</v>
      </c>
      <c r="C984" t="s">
        <v>12</v>
      </c>
      <c r="D984" s="1">
        <v>45428</v>
      </c>
      <c r="E984" t="s">
        <v>26</v>
      </c>
      <c r="F984" t="s">
        <v>21</v>
      </c>
      <c r="G984" t="s">
        <v>16</v>
      </c>
      <c r="H984">
        <v>712.12</v>
      </c>
      <c r="I984" t="str">
        <f t="shared" si="30"/>
        <v>May/2024</v>
      </c>
      <c r="J984">
        <f t="shared" si="31"/>
        <v>498295.49000000005</v>
      </c>
    </row>
    <row r="985" spans="1:10" hidden="1">
      <c r="A985">
        <v>984</v>
      </c>
      <c r="B985">
        <v>43</v>
      </c>
      <c r="C985" t="s">
        <v>12</v>
      </c>
      <c r="D985" s="1">
        <v>45465</v>
      </c>
      <c r="E985" t="s">
        <v>15</v>
      </c>
      <c r="F985" t="s">
        <v>18</v>
      </c>
      <c r="G985" t="s">
        <v>20</v>
      </c>
      <c r="H985">
        <v>941.33</v>
      </c>
      <c r="I985" t="str">
        <f t="shared" si="30"/>
        <v>Jun/2024</v>
      </c>
      <c r="J985">
        <f t="shared" si="31"/>
        <v>499236.82000000007</v>
      </c>
    </row>
    <row r="986" spans="1:10" hidden="1">
      <c r="A986">
        <v>985</v>
      </c>
      <c r="B986">
        <v>99</v>
      </c>
      <c r="C986" t="s">
        <v>12</v>
      </c>
      <c r="D986" s="1">
        <v>45324</v>
      </c>
      <c r="E986" t="s">
        <v>15</v>
      </c>
      <c r="F986" t="s">
        <v>18</v>
      </c>
      <c r="G986" t="s">
        <v>16</v>
      </c>
      <c r="H986">
        <v>112.15</v>
      </c>
      <c r="I986" t="str">
        <f t="shared" si="30"/>
        <v>Feb/2024</v>
      </c>
      <c r="J986">
        <f t="shared" si="31"/>
        <v>499348.97000000009</v>
      </c>
    </row>
    <row r="987" spans="1:10" hidden="1">
      <c r="A987">
        <v>986</v>
      </c>
      <c r="B987">
        <v>47</v>
      </c>
      <c r="C987" t="s">
        <v>8</v>
      </c>
      <c r="D987" s="1">
        <v>45330</v>
      </c>
      <c r="E987" t="s">
        <v>15</v>
      </c>
      <c r="F987" t="s">
        <v>21</v>
      </c>
      <c r="G987" t="s">
        <v>16</v>
      </c>
      <c r="H987">
        <v>284.7</v>
      </c>
      <c r="I987" t="str">
        <f t="shared" si="30"/>
        <v>Feb/2024</v>
      </c>
      <c r="J987">
        <f t="shared" si="31"/>
        <v>499633.6700000001</v>
      </c>
    </row>
    <row r="988" spans="1:10" hidden="1">
      <c r="A988">
        <v>987</v>
      </c>
      <c r="B988">
        <v>26</v>
      </c>
      <c r="C988" t="s">
        <v>19</v>
      </c>
      <c r="D988" s="1">
        <v>45434</v>
      </c>
      <c r="E988" t="s">
        <v>15</v>
      </c>
      <c r="F988" t="s">
        <v>10</v>
      </c>
      <c r="G988" t="s">
        <v>11</v>
      </c>
      <c r="H988">
        <v>694.09</v>
      </c>
      <c r="I988" t="str">
        <f t="shared" si="30"/>
        <v>May/2024</v>
      </c>
      <c r="J988">
        <f t="shared" si="31"/>
        <v>500327.76000000013</v>
      </c>
    </row>
    <row r="989" spans="1:10" hidden="1">
      <c r="A989">
        <v>988</v>
      </c>
      <c r="B989">
        <v>50</v>
      </c>
      <c r="C989" t="s">
        <v>19</v>
      </c>
      <c r="D989" s="1">
        <v>45327</v>
      </c>
      <c r="E989" t="s">
        <v>26</v>
      </c>
      <c r="F989" t="s">
        <v>21</v>
      </c>
      <c r="G989" t="s">
        <v>16</v>
      </c>
      <c r="H989">
        <v>102.98</v>
      </c>
      <c r="I989" t="str">
        <f t="shared" si="30"/>
        <v>Feb/2024</v>
      </c>
      <c r="J989">
        <f t="shared" si="31"/>
        <v>500430.74000000011</v>
      </c>
    </row>
    <row r="990" spans="1:10" hidden="1">
      <c r="A990">
        <v>989</v>
      </c>
      <c r="B990">
        <v>11</v>
      </c>
      <c r="C990" t="s">
        <v>19</v>
      </c>
      <c r="D990" s="1">
        <v>45292</v>
      </c>
      <c r="E990" t="s">
        <v>9</v>
      </c>
      <c r="F990" t="s">
        <v>18</v>
      </c>
      <c r="G990" t="s">
        <v>11</v>
      </c>
      <c r="H990">
        <v>398.32</v>
      </c>
      <c r="I990" t="str">
        <f t="shared" si="30"/>
        <v>Jan/2024</v>
      </c>
      <c r="J990">
        <f t="shared" si="31"/>
        <v>500829.06000000011</v>
      </c>
    </row>
    <row r="991" spans="1:10" hidden="1">
      <c r="A991">
        <v>990</v>
      </c>
      <c r="B991">
        <v>45</v>
      </c>
      <c r="C991" t="s">
        <v>19</v>
      </c>
      <c r="D991" s="1">
        <v>45454</v>
      </c>
      <c r="E991" t="s">
        <v>9</v>
      </c>
      <c r="F991" t="s">
        <v>18</v>
      </c>
      <c r="G991" t="s">
        <v>20</v>
      </c>
      <c r="H991">
        <v>576.07000000000005</v>
      </c>
      <c r="I991" t="str">
        <f t="shared" si="30"/>
        <v>Jun/2024</v>
      </c>
      <c r="J991">
        <f t="shared" si="31"/>
        <v>501405.13000000012</v>
      </c>
    </row>
    <row r="992" spans="1:10" hidden="1">
      <c r="A992">
        <v>991</v>
      </c>
      <c r="B992">
        <v>10</v>
      </c>
      <c r="C992" t="s">
        <v>19</v>
      </c>
      <c r="D992" s="1">
        <v>45451</v>
      </c>
      <c r="E992" t="s">
        <v>15</v>
      </c>
      <c r="F992" t="s">
        <v>10</v>
      </c>
      <c r="G992" t="s">
        <v>11</v>
      </c>
      <c r="H992">
        <v>51.79</v>
      </c>
      <c r="I992" t="str">
        <f t="shared" si="30"/>
        <v>Jun/2024</v>
      </c>
      <c r="J992">
        <f t="shared" si="31"/>
        <v>501456.9200000001</v>
      </c>
    </row>
    <row r="993" spans="1:10" hidden="1">
      <c r="A993">
        <v>992</v>
      </c>
      <c r="B993">
        <v>7</v>
      </c>
      <c r="C993" t="s">
        <v>19</v>
      </c>
      <c r="D993" s="1">
        <v>45316</v>
      </c>
      <c r="E993" t="s">
        <v>15</v>
      </c>
      <c r="F993" t="s">
        <v>18</v>
      </c>
      <c r="G993" t="s">
        <v>11</v>
      </c>
      <c r="H993">
        <v>426.31</v>
      </c>
      <c r="I993" t="str">
        <f t="shared" si="30"/>
        <v>Jan/2024</v>
      </c>
      <c r="J993">
        <f t="shared" si="31"/>
        <v>501883.2300000001</v>
      </c>
    </row>
    <row r="994" spans="1:10" hidden="1">
      <c r="A994">
        <v>993</v>
      </c>
      <c r="B994">
        <v>83</v>
      </c>
      <c r="C994" t="s">
        <v>12</v>
      </c>
      <c r="D994" s="1">
        <v>45365</v>
      </c>
      <c r="E994" t="s">
        <v>15</v>
      </c>
      <c r="F994" t="s">
        <v>18</v>
      </c>
      <c r="G994" t="s">
        <v>20</v>
      </c>
      <c r="H994">
        <v>808.65</v>
      </c>
      <c r="I994" t="str">
        <f t="shared" si="30"/>
        <v>Mar/2024</v>
      </c>
      <c r="J994">
        <f t="shared" si="31"/>
        <v>502691.88000000012</v>
      </c>
    </row>
    <row r="995" spans="1:10" hidden="1">
      <c r="A995">
        <v>994</v>
      </c>
      <c r="B995">
        <v>77</v>
      </c>
      <c r="C995" t="s">
        <v>19</v>
      </c>
      <c r="D995" s="1">
        <v>45333</v>
      </c>
      <c r="E995" t="s">
        <v>9</v>
      </c>
      <c r="F995" t="s">
        <v>10</v>
      </c>
      <c r="G995" t="s">
        <v>11</v>
      </c>
      <c r="H995">
        <v>970.37</v>
      </c>
      <c r="I995" t="str">
        <f t="shared" si="30"/>
        <v>Feb/2024</v>
      </c>
      <c r="J995">
        <f t="shared" si="31"/>
        <v>503662.25000000012</v>
      </c>
    </row>
    <row r="996" spans="1:10" hidden="1">
      <c r="A996">
        <v>995</v>
      </c>
      <c r="B996">
        <v>41</v>
      </c>
      <c r="C996" t="s">
        <v>19</v>
      </c>
      <c r="D996" s="1">
        <v>45319</v>
      </c>
      <c r="E996" t="s">
        <v>15</v>
      </c>
      <c r="F996" t="s">
        <v>21</v>
      </c>
      <c r="G996" t="s">
        <v>16</v>
      </c>
      <c r="H996">
        <v>67.540000000000006</v>
      </c>
      <c r="I996" t="str">
        <f t="shared" si="30"/>
        <v>Jan/2024</v>
      </c>
      <c r="J996">
        <f t="shared" si="31"/>
        <v>503729.7900000001</v>
      </c>
    </row>
    <row r="997" spans="1:10" hidden="1">
      <c r="A997">
        <v>996</v>
      </c>
      <c r="B997">
        <v>25</v>
      </c>
      <c r="C997" t="s">
        <v>8</v>
      </c>
      <c r="D997" s="1">
        <v>45352</v>
      </c>
      <c r="E997" t="s">
        <v>9</v>
      </c>
      <c r="F997" t="s">
        <v>10</v>
      </c>
      <c r="G997" t="s">
        <v>16</v>
      </c>
      <c r="H997">
        <v>813.14</v>
      </c>
      <c r="I997" t="str">
        <f t="shared" si="30"/>
        <v>Mar/2024</v>
      </c>
      <c r="J997">
        <f t="shared" si="31"/>
        <v>504542.93000000011</v>
      </c>
    </row>
    <row r="998" spans="1:10" hidden="1">
      <c r="A998">
        <v>997</v>
      </c>
      <c r="B998">
        <v>23</v>
      </c>
      <c r="C998" t="s">
        <v>12</v>
      </c>
      <c r="D998" s="1">
        <v>45372</v>
      </c>
      <c r="E998" t="s">
        <v>9</v>
      </c>
      <c r="F998" t="s">
        <v>21</v>
      </c>
      <c r="G998" t="s">
        <v>16</v>
      </c>
      <c r="H998">
        <v>944.07</v>
      </c>
      <c r="I998" t="str">
        <f t="shared" si="30"/>
        <v>Mar/2024</v>
      </c>
      <c r="J998">
        <f t="shared" si="31"/>
        <v>505487.00000000012</v>
      </c>
    </row>
    <row r="999" spans="1:10" hidden="1">
      <c r="A999">
        <v>998</v>
      </c>
      <c r="B999">
        <v>17</v>
      </c>
      <c r="C999" t="s">
        <v>8</v>
      </c>
      <c r="D999" s="1">
        <v>45307</v>
      </c>
      <c r="E999" t="s">
        <v>9</v>
      </c>
      <c r="F999" t="s">
        <v>10</v>
      </c>
      <c r="G999" t="s">
        <v>16</v>
      </c>
      <c r="H999">
        <v>401.12</v>
      </c>
      <c r="I999" t="str">
        <f t="shared" si="30"/>
        <v>Jan/2024</v>
      </c>
      <c r="J999">
        <f t="shared" si="31"/>
        <v>505888.12000000011</v>
      </c>
    </row>
    <row r="1000" spans="1:10" hidden="1">
      <c r="A1000">
        <v>999</v>
      </c>
      <c r="B1000">
        <v>96</v>
      </c>
      <c r="C1000" t="s">
        <v>19</v>
      </c>
      <c r="D1000" s="1">
        <v>45464</v>
      </c>
      <c r="E1000" t="s">
        <v>15</v>
      </c>
      <c r="F1000" t="s">
        <v>21</v>
      </c>
      <c r="G1000" t="s">
        <v>20</v>
      </c>
      <c r="H1000">
        <v>775.63</v>
      </c>
      <c r="I1000" t="str">
        <f t="shared" si="30"/>
        <v>Jun/2024</v>
      </c>
      <c r="J1000">
        <f t="shared" si="31"/>
        <v>506663.75000000012</v>
      </c>
    </row>
    <row r="1001" spans="1:10" hidden="1">
      <c r="A1001">
        <v>1000</v>
      </c>
      <c r="B1001">
        <v>1</v>
      </c>
      <c r="C1001" t="s">
        <v>19</v>
      </c>
      <c r="D1001" s="1">
        <v>45374</v>
      </c>
      <c r="E1001" t="s">
        <v>9</v>
      </c>
      <c r="F1001" t="s">
        <v>10</v>
      </c>
      <c r="G1001" t="s">
        <v>11</v>
      </c>
      <c r="H1001">
        <v>963.4</v>
      </c>
      <c r="I1001" t="str">
        <f t="shared" si="30"/>
        <v>Mar/2024</v>
      </c>
      <c r="J1001">
        <f t="shared" si="31"/>
        <v>507627.15000000014</v>
      </c>
    </row>
  </sheetData>
  <autoFilter ref="B1:B1001" xr:uid="{48481873-C3CB-42AB-9DA6-58768F13261D}">
    <filterColumn colId="0">
      <filters>
        <filter val="81"/>
      </filters>
    </filterColumn>
  </autoFilter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3029-EC95-4CA9-9191-023100BA07DF}">
  <dimension ref="A1:O232"/>
  <sheetViews>
    <sheetView workbookViewId="0">
      <selection activeCell="H68" sqref="H68:L171"/>
    </sheetView>
  </sheetViews>
  <sheetFormatPr defaultRowHeight="15"/>
  <cols>
    <col min="1" max="1" width="12.85546875" bestFit="1" customWidth="1"/>
    <col min="2" max="2" width="18" bestFit="1" customWidth="1"/>
    <col min="3" max="3" width="6.140625" bestFit="1" customWidth="1"/>
    <col min="4" max="4" width="9.5703125" bestFit="1" customWidth="1"/>
    <col min="5" max="5" width="11.28515625" bestFit="1" customWidth="1"/>
    <col min="6" max="6" width="20.28515625" bestFit="1" customWidth="1"/>
    <col min="7" max="7" width="18" bestFit="1" customWidth="1"/>
    <col min="8" max="8" width="13.42578125" bestFit="1" customWidth="1"/>
    <col min="9" max="9" width="18" bestFit="1" customWidth="1"/>
    <col min="10" max="10" width="9" bestFit="1" customWidth="1"/>
    <col min="11" max="11" width="8.5703125" bestFit="1" customWidth="1"/>
    <col min="12" max="12" width="8.7109375" bestFit="1" customWidth="1"/>
    <col min="13" max="13" width="9" bestFit="1" customWidth="1"/>
    <col min="14" max="14" width="9.28515625" bestFit="1" customWidth="1"/>
    <col min="15" max="15" width="11.28515625" bestFit="1" customWidth="1"/>
    <col min="16" max="19" width="20.28515625" bestFit="1" customWidth="1"/>
    <col min="20" max="20" width="25.28515625" bestFit="1" customWidth="1"/>
    <col min="21" max="21" width="20.5703125" bestFit="1" customWidth="1"/>
    <col min="22" max="22" width="5" bestFit="1" customWidth="1"/>
    <col min="23" max="27" width="6" bestFit="1" customWidth="1"/>
    <col min="28" max="28" width="5" bestFit="1" customWidth="1"/>
    <col min="29" max="45" width="6" bestFit="1" customWidth="1"/>
    <col min="46" max="48" width="7" bestFit="1" customWidth="1"/>
    <col min="49" max="49" width="6" bestFit="1" customWidth="1"/>
    <col min="50" max="58" width="7" bestFit="1" customWidth="1"/>
    <col min="59" max="59" width="4" bestFit="1" customWidth="1"/>
    <col min="60" max="67" width="7" bestFit="1" customWidth="1"/>
    <col min="68" max="68" width="6" bestFit="1" customWidth="1"/>
    <col min="69" max="69" width="7" bestFit="1" customWidth="1"/>
    <col min="70" max="70" width="4" bestFit="1" customWidth="1"/>
    <col min="71" max="87" width="7" bestFit="1" customWidth="1"/>
    <col min="88" max="88" width="6" bestFit="1" customWidth="1"/>
    <col min="89" max="94" width="7" bestFit="1" customWidth="1"/>
    <col min="95" max="95" width="6" bestFit="1" customWidth="1"/>
    <col min="96" max="102" width="7" bestFit="1" customWidth="1"/>
    <col min="103" max="103" width="6" bestFit="1" customWidth="1"/>
    <col min="104" max="155" width="7" bestFit="1" customWidth="1"/>
    <col min="156" max="156" width="6" bestFit="1" customWidth="1"/>
    <col min="157" max="167" width="7" bestFit="1" customWidth="1"/>
    <col min="168" max="168" width="6" bestFit="1" customWidth="1"/>
    <col min="169" max="171" width="7" bestFit="1" customWidth="1"/>
    <col min="172" max="172" width="6" bestFit="1" customWidth="1"/>
    <col min="173" max="189" width="7" bestFit="1" customWidth="1"/>
    <col min="190" max="190" width="6" bestFit="1" customWidth="1"/>
    <col min="191" max="193" width="7" bestFit="1" customWidth="1"/>
    <col min="194" max="194" width="6" bestFit="1" customWidth="1"/>
    <col min="195" max="201" width="7" bestFit="1" customWidth="1"/>
    <col min="202" max="202" width="6" bestFit="1" customWidth="1"/>
    <col min="203" max="209" width="7" bestFit="1" customWidth="1"/>
    <col min="210" max="210" width="6" bestFit="1" customWidth="1"/>
    <col min="211" max="215" width="7" bestFit="1" customWidth="1"/>
    <col min="216" max="216" width="6" bestFit="1" customWidth="1"/>
    <col min="217" max="221" width="7" bestFit="1" customWidth="1"/>
    <col min="222" max="223" width="6" bestFit="1" customWidth="1"/>
    <col min="224" max="236" width="7" bestFit="1" customWidth="1"/>
    <col min="237" max="237" width="6" bestFit="1" customWidth="1"/>
    <col min="238" max="253" width="7" bestFit="1" customWidth="1"/>
    <col min="254" max="254" width="6" bestFit="1" customWidth="1"/>
    <col min="255" max="256" width="7" bestFit="1" customWidth="1"/>
    <col min="257" max="257" width="6" bestFit="1" customWidth="1"/>
    <col min="258" max="284" width="7" bestFit="1" customWidth="1"/>
    <col min="285" max="285" width="6" bestFit="1" customWidth="1"/>
    <col min="286" max="292" width="7" bestFit="1" customWidth="1"/>
    <col min="293" max="293" width="6" bestFit="1" customWidth="1"/>
    <col min="294" max="296" width="7" bestFit="1" customWidth="1"/>
    <col min="297" max="297" width="6" bestFit="1" customWidth="1"/>
    <col min="298" max="305" width="7" bestFit="1" customWidth="1"/>
    <col min="306" max="306" width="23.140625" bestFit="1" customWidth="1"/>
    <col min="307" max="307" width="16.42578125" bestFit="1" customWidth="1"/>
    <col min="308" max="309" width="6" bestFit="1" customWidth="1"/>
    <col min="310" max="310" width="5" bestFit="1" customWidth="1"/>
    <col min="311" max="321" width="6" bestFit="1" customWidth="1"/>
    <col min="322" max="322" width="5" bestFit="1" customWidth="1"/>
    <col min="323" max="330" width="6" bestFit="1" customWidth="1"/>
    <col min="331" max="331" width="3" bestFit="1" customWidth="1"/>
    <col min="332" max="332" width="6" bestFit="1" customWidth="1"/>
    <col min="333" max="333" width="3" bestFit="1" customWidth="1"/>
    <col min="334" max="335" width="6" bestFit="1" customWidth="1"/>
    <col min="336" max="336" width="5" bestFit="1" customWidth="1"/>
    <col min="337" max="338" width="6" bestFit="1" customWidth="1"/>
    <col min="339" max="344" width="7" bestFit="1" customWidth="1"/>
    <col min="345" max="345" width="6" bestFit="1" customWidth="1"/>
    <col min="346" max="357" width="7" bestFit="1" customWidth="1"/>
    <col min="358" max="358" width="6" bestFit="1" customWidth="1"/>
    <col min="359" max="361" width="7" bestFit="1" customWidth="1"/>
    <col min="362" max="362" width="6" bestFit="1" customWidth="1"/>
    <col min="363" max="366" width="7" bestFit="1" customWidth="1"/>
    <col min="367" max="368" width="6" bestFit="1" customWidth="1"/>
    <col min="369" max="373" width="7" bestFit="1" customWidth="1"/>
    <col min="374" max="374" width="6" bestFit="1" customWidth="1"/>
    <col min="375" max="385" width="7" bestFit="1" customWidth="1"/>
    <col min="386" max="386" width="6" bestFit="1" customWidth="1"/>
    <col min="387" max="403" width="7" bestFit="1" customWidth="1"/>
    <col min="404" max="406" width="6" bestFit="1" customWidth="1"/>
    <col min="407" max="409" width="7" bestFit="1" customWidth="1"/>
    <col min="410" max="411" width="6" bestFit="1" customWidth="1"/>
    <col min="412" max="416" width="7" bestFit="1" customWidth="1"/>
    <col min="417" max="417" width="6" bestFit="1" customWidth="1"/>
    <col min="418" max="446" width="7" bestFit="1" customWidth="1"/>
    <col min="447" max="447" width="6" bestFit="1" customWidth="1"/>
    <col min="448" max="460" width="7" bestFit="1" customWidth="1"/>
    <col min="461" max="461" width="6" bestFit="1" customWidth="1"/>
    <col min="462" max="468" width="7" bestFit="1" customWidth="1"/>
    <col min="469" max="469" width="6" bestFit="1" customWidth="1"/>
    <col min="470" max="478" width="7" bestFit="1" customWidth="1"/>
    <col min="479" max="479" width="6" bestFit="1" customWidth="1"/>
    <col min="480" max="481" width="7" bestFit="1" customWidth="1"/>
    <col min="482" max="482" width="6" bestFit="1" customWidth="1"/>
    <col min="483" max="488" width="7" bestFit="1" customWidth="1"/>
    <col min="489" max="489" width="4" bestFit="1" customWidth="1"/>
    <col min="490" max="506" width="7" bestFit="1" customWidth="1"/>
    <col min="507" max="507" width="6" bestFit="1" customWidth="1"/>
    <col min="508" max="542" width="7" bestFit="1" customWidth="1"/>
    <col min="543" max="543" width="6" bestFit="1" customWidth="1"/>
    <col min="544" max="561" width="7" bestFit="1" customWidth="1"/>
    <col min="562" max="562" width="6" bestFit="1" customWidth="1"/>
    <col min="563" max="564" width="7" bestFit="1" customWidth="1"/>
    <col min="565" max="565" width="6" bestFit="1" customWidth="1"/>
    <col min="566" max="588" width="7" bestFit="1" customWidth="1"/>
    <col min="589" max="589" width="6" bestFit="1" customWidth="1"/>
    <col min="590" max="593" width="7" bestFit="1" customWidth="1"/>
    <col min="594" max="594" width="6" bestFit="1" customWidth="1"/>
    <col min="595" max="600" width="7" bestFit="1" customWidth="1"/>
    <col min="601" max="601" width="6" bestFit="1" customWidth="1"/>
    <col min="602" max="603" width="7" bestFit="1" customWidth="1"/>
    <col min="604" max="604" width="6" bestFit="1" customWidth="1"/>
    <col min="605" max="618" width="7" bestFit="1" customWidth="1"/>
    <col min="619" max="620" width="6" bestFit="1" customWidth="1"/>
    <col min="621" max="637" width="7" bestFit="1" customWidth="1"/>
    <col min="638" max="638" width="6" bestFit="1" customWidth="1"/>
    <col min="639" max="640" width="7" bestFit="1" customWidth="1"/>
    <col min="641" max="641" width="6" bestFit="1" customWidth="1"/>
    <col min="642" max="651" width="7" bestFit="1" customWidth="1"/>
    <col min="652" max="652" width="6" bestFit="1" customWidth="1"/>
    <col min="653" max="656" width="7" bestFit="1" customWidth="1"/>
    <col min="657" max="657" width="6" bestFit="1" customWidth="1"/>
    <col min="658" max="658" width="7" bestFit="1" customWidth="1"/>
    <col min="659" max="659" width="19.5703125" bestFit="1" customWidth="1"/>
    <col min="660" max="660" width="18.42578125" bestFit="1" customWidth="1"/>
    <col min="661" max="661" width="5" bestFit="1" customWidth="1"/>
    <col min="662" max="665" width="6" bestFit="1" customWidth="1"/>
    <col min="666" max="666" width="5" bestFit="1" customWidth="1"/>
    <col min="667" max="668" width="6" bestFit="1" customWidth="1"/>
    <col min="669" max="669" width="5" bestFit="1" customWidth="1"/>
    <col min="670" max="681" width="6" bestFit="1" customWidth="1"/>
    <col min="682" max="682" width="5" bestFit="1" customWidth="1"/>
    <col min="683" max="694" width="6" bestFit="1" customWidth="1"/>
    <col min="695" max="695" width="5" bestFit="1" customWidth="1"/>
    <col min="696" max="698" width="6" bestFit="1" customWidth="1"/>
    <col min="699" max="702" width="7" bestFit="1" customWidth="1"/>
    <col min="703" max="703" width="6" bestFit="1" customWidth="1"/>
    <col min="704" max="729" width="7" bestFit="1" customWidth="1"/>
    <col min="730" max="730" width="6" bestFit="1" customWidth="1"/>
    <col min="731" max="747" width="7" bestFit="1" customWidth="1"/>
    <col min="748" max="748" width="6" bestFit="1" customWidth="1"/>
    <col min="749" max="749" width="7" bestFit="1" customWidth="1"/>
    <col min="750" max="750" width="6" bestFit="1" customWidth="1"/>
    <col min="751" max="788" width="7" bestFit="1" customWidth="1"/>
    <col min="789" max="789" width="6" bestFit="1" customWidth="1"/>
    <col min="790" max="797" width="7" bestFit="1" customWidth="1"/>
    <col min="798" max="798" width="6" bestFit="1" customWidth="1"/>
    <col min="799" max="799" width="7" bestFit="1" customWidth="1"/>
    <col min="800" max="801" width="6" bestFit="1" customWidth="1"/>
    <col min="802" max="805" width="7" bestFit="1" customWidth="1"/>
    <col min="806" max="806" width="6" bestFit="1" customWidth="1"/>
    <col min="807" max="810" width="7" bestFit="1" customWidth="1"/>
    <col min="811" max="812" width="6" bestFit="1" customWidth="1"/>
    <col min="813" max="824" width="7" bestFit="1" customWidth="1"/>
    <col min="825" max="825" width="6" bestFit="1" customWidth="1"/>
    <col min="826" max="835" width="7" bestFit="1" customWidth="1"/>
    <col min="836" max="836" width="6" bestFit="1" customWidth="1"/>
    <col min="837" max="857" width="7" bestFit="1" customWidth="1"/>
    <col min="858" max="858" width="6" bestFit="1" customWidth="1"/>
    <col min="859" max="873" width="7" bestFit="1" customWidth="1"/>
    <col min="874" max="874" width="6" bestFit="1" customWidth="1"/>
    <col min="875" max="878" width="7" bestFit="1" customWidth="1"/>
    <col min="879" max="879" width="6" bestFit="1" customWidth="1"/>
    <col min="880" max="886" width="7" bestFit="1" customWidth="1"/>
    <col min="887" max="887" width="6" bestFit="1" customWidth="1"/>
    <col min="888" max="895" width="7" bestFit="1" customWidth="1"/>
    <col min="896" max="896" width="6" bestFit="1" customWidth="1"/>
    <col min="897" max="897" width="7" bestFit="1" customWidth="1"/>
    <col min="898" max="898" width="6" bestFit="1" customWidth="1"/>
    <col min="899" max="930" width="7" bestFit="1" customWidth="1"/>
    <col min="931" max="931" width="6" bestFit="1" customWidth="1"/>
    <col min="932" max="943" width="7" bestFit="1" customWidth="1"/>
    <col min="944" max="944" width="6" bestFit="1" customWidth="1"/>
    <col min="945" max="964" width="7" bestFit="1" customWidth="1"/>
    <col min="965" max="965" width="6" bestFit="1" customWidth="1"/>
    <col min="966" max="970" width="7" bestFit="1" customWidth="1"/>
    <col min="971" max="971" width="6" bestFit="1" customWidth="1"/>
    <col min="972" max="979" width="7" bestFit="1" customWidth="1"/>
    <col min="980" max="980" width="6" bestFit="1" customWidth="1"/>
    <col min="981" max="985" width="7" bestFit="1" customWidth="1"/>
    <col min="986" max="986" width="6" bestFit="1" customWidth="1"/>
    <col min="987" max="994" width="7" bestFit="1" customWidth="1"/>
    <col min="995" max="995" width="6" bestFit="1" customWidth="1"/>
    <col min="996" max="996" width="7" bestFit="1" customWidth="1"/>
    <col min="997" max="997" width="6" bestFit="1" customWidth="1"/>
    <col min="998" max="1000" width="7" bestFit="1" customWidth="1"/>
    <col min="1001" max="1001" width="6" bestFit="1" customWidth="1"/>
    <col min="1002" max="1002" width="7" bestFit="1" customWidth="1"/>
    <col min="1003" max="1003" width="6" bestFit="1" customWidth="1"/>
    <col min="1004" max="1009" width="7" bestFit="1" customWidth="1"/>
    <col min="1010" max="1010" width="21.7109375" bestFit="1" customWidth="1"/>
    <col min="1011" max="1011" width="11.28515625" bestFit="1" customWidth="1"/>
  </cols>
  <sheetData>
    <row r="1" spans="1:9" ht="34.5">
      <c r="A1" s="11" t="s">
        <v>155</v>
      </c>
      <c r="H1" s="7" t="s">
        <v>159</v>
      </c>
    </row>
    <row r="2" spans="1:9">
      <c r="A2" s="6" t="s">
        <v>150</v>
      </c>
      <c r="H2" s="6" t="s">
        <v>161</v>
      </c>
    </row>
    <row r="3" spans="1:9">
      <c r="A3" s="4" t="s">
        <v>5</v>
      </c>
      <c r="B3" t="s">
        <v>147</v>
      </c>
      <c r="H3" s="4" t="s">
        <v>184</v>
      </c>
      <c r="I3" t="s">
        <v>158</v>
      </c>
    </row>
    <row r="4" spans="1:9">
      <c r="H4" s="5" t="s">
        <v>16</v>
      </c>
      <c r="I4">
        <v>149035.87999999992</v>
      </c>
    </row>
    <row r="5" spans="1:9">
      <c r="A5" s="4" t="s">
        <v>185</v>
      </c>
      <c r="B5" t="s">
        <v>178</v>
      </c>
      <c r="H5" s="5" t="s">
        <v>20</v>
      </c>
      <c r="I5">
        <v>185178.29</v>
      </c>
    </row>
    <row r="6" spans="1:9">
      <c r="A6" s="5" t="s">
        <v>19</v>
      </c>
      <c r="B6">
        <v>309</v>
      </c>
      <c r="H6" s="5" t="s">
        <v>11</v>
      </c>
      <c r="I6">
        <v>173412.98</v>
      </c>
    </row>
    <row r="7" spans="1:9">
      <c r="A7" s="5" t="s">
        <v>12</v>
      </c>
      <c r="B7">
        <v>339</v>
      </c>
      <c r="H7" s="5" t="s">
        <v>146</v>
      </c>
      <c r="I7">
        <v>507627.14999999991</v>
      </c>
    </row>
    <row r="8" spans="1:9">
      <c r="A8" s="5" t="s">
        <v>8</v>
      </c>
      <c r="B8">
        <v>352</v>
      </c>
    </row>
    <row r="9" spans="1:9">
      <c r="A9" s="5" t="s">
        <v>146</v>
      </c>
      <c r="B9">
        <v>1000</v>
      </c>
      <c r="H9" s="8" t="s">
        <v>162</v>
      </c>
    </row>
    <row r="10" spans="1:9">
      <c r="H10" s="4" t="s">
        <v>184</v>
      </c>
      <c r="I10" t="s">
        <v>158</v>
      </c>
    </row>
    <row r="11" spans="1:9">
      <c r="H11" s="5" t="s">
        <v>164</v>
      </c>
      <c r="I11">
        <v>76153.460000000021</v>
      </c>
    </row>
    <row r="12" spans="1:9">
      <c r="A12" s="8" t="s">
        <v>151</v>
      </c>
      <c r="H12" s="5" t="s">
        <v>165</v>
      </c>
      <c r="I12">
        <v>83259.839999999967</v>
      </c>
    </row>
    <row r="13" spans="1:9">
      <c r="H13" s="5" t="s">
        <v>166</v>
      </c>
      <c r="I13">
        <v>95978.430000000037</v>
      </c>
    </row>
    <row r="14" spans="1:9">
      <c r="A14" s="4" t="s">
        <v>145</v>
      </c>
      <c r="B14" t="s">
        <v>178</v>
      </c>
      <c r="H14" s="5" t="s">
        <v>167</v>
      </c>
      <c r="I14">
        <v>76587.17</v>
      </c>
    </row>
    <row r="15" spans="1:9">
      <c r="A15" s="5" t="s">
        <v>9</v>
      </c>
      <c r="B15">
        <v>326</v>
      </c>
      <c r="H15" s="5" t="s">
        <v>168</v>
      </c>
      <c r="I15">
        <v>91806.749999999985</v>
      </c>
    </row>
    <row r="16" spans="1:9">
      <c r="A16" s="5" t="s">
        <v>15</v>
      </c>
      <c r="B16">
        <v>321</v>
      </c>
      <c r="H16" s="5" t="s">
        <v>169</v>
      </c>
      <c r="I16">
        <v>83841.5</v>
      </c>
    </row>
    <row r="17" spans="1:9">
      <c r="A17" s="5" t="s">
        <v>26</v>
      </c>
      <c r="B17">
        <v>353</v>
      </c>
      <c r="H17" s="5" t="s">
        <v>146</v>
      </c>
      <c r="I17">
        <v>507627.15</v>
      </c>
    </row>
    <row r="18" spans="1:9">
      <c r="A18" s="5" t="s">
        <v>146</v>
      </c>
      <c r="B18">
        <v>1000</v>
      </c>
    </row>
    <row r="19" spans="1:9">
      <c r="A19" s="5"/>
    </row>
    <row r="20" spans="1:9" ht="31.5">
      <c r="A20" s="5"/>
      <c r="H20" s="9" t="s">
        <v>170</v>
      </c>
      <c r="I20" s="6"/>
    </row>
    <row r="21" spans="1:9">
      <c r="A21" s="5"/>
      <c r="H21" s="6" t="s">
        <v>171</v>
      </c>
      <c r="I21" s="6"/>
    </row>
    <row r="22" spans="1:9" ht="28.5">
      <c r="A22" s="12" t="s">
        <v>175</v>
      </c>
      <c r="H22" s="4" t="s">
        <v>145</v>
      </c>
      <c r="I22" t="s">
        <v>178</v>
      </c>
    </row>
    <row r="23" spans="1:9">
      <c r="A23" s="5" t="s">
        <v>153</v>
      </c>
      <c r="C23" t="s">
        <v>154</v>
      </c>
      <c r="H23" s="5" t="s">
        <v>164</v>
      </c>
      <c r="I23">
        <v>156</v>
      </c>
    </row>
    <row r="24" spans="1:9">
      <c r="H24" s="5" t="s">
        <v>165</v>
      </c>
      <c r="I24">
        <v>160</v>
      </c>
    </row>
    <row r="25" spans="1:9">
      <c r="A25" s="4" t="s">
        <v>149</v>
      </c>
      <c r="B25" s="4" t="s">
        <v>152</v>
      </c>
      <c r="H25" s="5" t="s">
        <v>166</v>
      </c>
      <c r="I25">
        <v>191</v>
      </c>
    </row>
    <row r="26" spans="1:9">
      <c r="A26" s="4" t="s">
        <v>145</v>
      </c>
      <c r="B26" t="s">
        <v>18</v>
      </c>
      <c r="C26" t="s">
        <v>10</v>
      </c>
      <c r="D26" t="s">
        <v>21</v>
      </c>
      <c r="E26" t="s">
        <v>146</v>
      </c>
      <c r="H26" s="5" t="s">
        <v>167</v>
      </c>
      <c r="I26">
        <v>151</v>
      </c>
    </row>
    <row r="27" spans="1:9">
      <c r="A27" s="5">
        <v>1</v>
      </c>
      <c r="B27">
        <v>8</v>
      </c>
      <c r="C27">
        <v>3</v>
      </c>
      <c r="D27">
        <v>1</v>
      </c>
      <c r="E27">
        <v>12</v>
      </c>
      <c r="H27" s="5" t="s">
        <v>168</v>
      </c>
      <c r="I27">
        <v>175</v>
      </c>
    </row>
    <row r="28" spans="1:9">
      <c r="A28" s="5">
        <v>2</v>
      </c>
      <c r="B28">
        <v>3</v>
      </c>
      <c r="C28">
        <v>2</v>
      </c>
      <c r="D28">
        <v>2</v>
      </c>
      <c r="E28">
        <v>7</v>
      </c>
      <c r="H28" s="5" t="s">
        <v>169</v>
      </c>
      <c r="I28">
        <v>167</v>
      </c>
    </row>
    <row r="29" spans="1:9">
      <c r="A29" s="5">
        <v>3</v>
      </c>
      <c r="B29">
        <v>2</v>
      </c>
      <c r="C29">
        <v>1</v>
      </c>
      <c r="D29">
        <v>5</v>
      </c>
      <c r="E29">
        <v>8</v>
      </c>
      <c r="H29" s="5" t="s">
        <v>146</v>
      </c>
      <c r="I29">
        <v>1000</v>
      </c>
    </row>
    <row r="30" spans="1:9">
      <c r="A30" s="5">
        <v>4</v>
      </c>
      <c r="B30">
        <v>6</v>
      </c>
      <c r="C30">
        <v>5</v>
      </c>
      <c r="D30">
        <v>5</v>
      </c>
      <c r="E30">
        <v>16</v>
      </c>
    </row>
    <row r="31" spans="1:9">
      <c r="A31" s="5">
        <v>5</v>
      </c>
      <c r="B31">
        <v>6</v>
      </c>
      <c r="C31">
        <v>2</v>
      </c>
      <c r="D31">
        <v>5</v>
      </c>
      <c r="E31">
        <v>13</v>
      </c>
    </row>
    <row r="32" spans="1:9">
      <c r="A32" s="5">
        <v>6</v>
      </c>
      <c r="B32">
        <v>5</v>
      </c>
      <c r="C32">
        <v>5</v>
      </c>
      <c r="D32">
        <v>5</v>
      </c>
      <c r="E32">
        <v>15</v>
      </c>
      <c r="H32" s="8" t="s">
        <v>172</v>
      </c>
    </row>
    <row r="33" spans="1:15">
      <c r="A33" s="5">
        <v>7</v>
      </c>
      <c r="B33">
        <v>3</v>
      </c>
      <c r="C33">
        <v>5</v>
      </c>
      <c r="D33">
        <v>6</v>
      </c>
      <c r="E33">
        <v>14</v>
      </c>
    </row>
    <row r="34" spans="1:15">
      <c r="A34" s="5">
        <v>8</v>
      </c>
      <c r="B34">
        <v>4</v>
      </c>
      <c r="C34">
        <v>5</v>
      </c>
      <c r="D34">
        <v>2</v>
      </c>
      <c r="E34">
        <v>11</v>
      </c>
      <c r="H34" s="4" t="s">
        <v>149</v>
      </c>
      <c r="I34" s="4" t="s">
        <v>152</v>
      </c>
    </row>
    <row r="35" spans="1:15">
      <c r="A35" s="5">
        <v>9</v>
      </c>
      <c r="B35">
        <v>2</v>
      </c>
      <c r="C35">
        <v>2</v>
      </c>
      <c r="D35">
        <v>5</v>
      </c>
      <c r="E35">
        <v>9</v>
      </c>
      <c r="H35" s="4" t="s">
        <v>183</v>
      </c>
      <c r="I35" t="s">
        <v>164</v>
      </c>
      <c r="J35" t="s">
        <v>165</v>
      </c>
      <c r="K35" t="s">
        <v>166</v>
      </c>
      <c r="L35" t="s">
        <v>167</v>
      </c>
      <c r="M35" t="s">
        <v>168</v>
      </c>
      <c r="N35" t="s">
        <v>169</v>
      </c>
      <c r="O35" t="s">
        <v>146</v>
      </c>
    </row>
    <row r="36" spans="1:15">
      <c r="A36" s="5">
        <v>10</v>
      </c>
      <c r="B36">
        <v>5</v>
      </c>
      <c r="C36">
        <v>7</v>
      </c>
      <c r="D36">
        <v>4</v>
      </c>
      <c r="E36">
        <v>16</v>
      </c>
      <c r="H36" s="5" t="s">
        <v>19</v>
      </c>
      <c r="I36">
        <v>49</v>
      </c>
      <c r="J36">
        <v>47</v>
      </c>
      <c r="K36">
        <v>65</v>
      </c>
      <c r="L36">
        <v>45</v>
      </c>
      <c r="M36">
        <v>46</v>
      </c>
      <c r="N36">
        <v>57</v>
      </c>
      <c r="O36">
        <v>309</v>
      </c>
    </row>
    <row r="37" spans="1:15">
      <c r="A37" s="5">
        <v>11</v>
      </c>
      <c r="B37">
        <v>4</v>
      </c>
      <c r="C37">
        <v>2</v>
      </c>
      <c r="D37">
        <v>2</v>
      </c>
      <c r="E37">
        <v>8</v>
      </c>
      <c r="H37" s="5" t="s">
        <v>12</v>
      </c>
      <c r="I37">
        <v>52</v>
      </c>
      <c r="J37">
        <v>55</v>
      </c>
      <c r="K37">
        <v>56</v>
      </c>
      <c r="L37">
        <v>43</v>
      </c>
      <c r="M37">
        <v>67</v>
      </c>
      <c r="N37">
        <v>66</v>
      </c>
      <c r="O37">
        <v>339</v>
      </c>
    </row>
    <row r="38" spans="1:15">
      <c r="A38" s="5">
        <v>12</v>
      </c>
      <c r="B38">
        <v>3</v>
      </c>
      <c r="C38">
        <v>6</v>
      </c>
      <c r="D38">
        <v>4</v>
      </c>
      <c r="E38">
        <v>13</v>
      </c>
      <c r="H38" s="5" t="s">
        <v>8</v>
      </c>
      <c r="I38">
        <v>55</v>
      </c>
      <c r="J38">
        <v>58</v>
      </c>
      <c r="K38">
        <v>70</v>
      </c>
      <c r="L38">
        <v>63</v>
      </c>
      <c r="M38">
        <v>62</v>
      </c>
      <c r="N38">
        <v>44</v>
      </c>
      <c r="O38">
        <v>352</v>
      </c>
    </row>
    <row r="39" spans="1:15">
      <c r="A39" s="5">
        <v>13</v>
      </c>
      <c r="B39">
        <v>4</v>
      </c>
      <c r="C39">
        <v>3</v>
      </c>
      <c r="D39">
        <v>2</v>
      </c>
      <c r="E39">
        <v>9</v>
      </c>
      <c r="H39" s="5" t="s">
        <v>146</v>
      </c>
      <c r="I39">
        <v>156</v>
      </c>
      <c r="J39">
        <v>160</v>
      </c>
      <c r="K39">
        <v>191</v>
      </c>
      <c r="L39">
        <v>151</v>
      </c>
      <c r="M39">
        <v>175</v>
      </c>
      <c r="N39">
        <v>167</v>
      </c>
      <c r="O39">
        <v>1000</v>
      </c>
    </row>
    <row r="40" spans="1:15">
      <c r="A40" s="5">
        <v>14</v>
      </c>
      <c r="B40">
        <v>4</v>
      </c>
      <c r="C40">
        <v>5</v>
      </c>
      <c r="D40">
        <v>2</v>
      </c>
      <c r="E40">
        <v>11</v>
      </c>
    </row>
    <row r="41" spans="1:15">
      <c r="A41" s="5">
        <v>15</v>
      </c>
      <c r="B41">
        <v>2</v>
      </c>
      <c r="C41">
        <v>4</v>
      </c>
      <c r="D41">
        <v>4</v>
      </c>
      <c r="E41">
        <v>10</v>
      </c>
      <c r="H41" s="5" t="s">
        <v>173</v>
      </c>
    </row>
    <row r="42" spans="1:15">
      <c r="A42" s="5">
        <v>16</v>
      </c>
      <c r="B42">
        <v>2</v>
      </c>
      <c r="C42">
        <v>1</v>
      </c>
      <c r="D42">
        <v>2</v>
      </c>
      <c r="E42">
        <v>5</v>
      </c>
      <c r="H42" s="4" t="s">
        <v>160</v>
      </c>
      <c r="I42" s="4" t="s">
        <v>152</v>
      </c>
    </row>
    <row r="43" spans="1:15">
      <c r="A43" s="5">
        <v>17</v>
      </c>
      <c r="B43">
        <v>4</v>
      </c>
      <c r="C43">
        <v>7</v>
      </c>
      <c r="D43">
        <v>3</v>
      </c>
      <c r="E43">
        <v>14</v>
      </c>
      <c r="H43" s="4" t="s">
        <v>5</v>
      </c>
      <c r="I43" t="s">
        <v>164</v>
      </c>
      <c r="J43" t="s">
        <v>165</v>
      </c>
      <c r="K43" t="s">
        <v>166</v>
      </c>
      <c r="L43" t="s">
        <v>167</v>
      </c>
      <c r="M43" t="s">
        <v>168</v>
      </c>
      <c r="N43" t="s">
        <v>169</v>
      </c>
      <c r="O43" t="s">
        <v>146</v>
      </c>
    </row>
    <row r="44" spans="1:15">
      <c r="A44" s="5">
        <v>18</v>
      </c>
      <c r="B44">
        <v>2</v>
      </c>
      <c r="C44">
        <v>4</v>
      </c>
      <c r="E44">
        <v>6</v>
      </c>
      <c r="H44" s="5" t="s">
        <v>18</v>
      </c>
      <c r="I44">
        <v>56</v>
      </c>
      <c r="J44">
        <v>52</v>
      </c>
      <c r="K44">
        <v>71</v>
      </c>
      <c r="L44">
        <v>52</v>
      </c>
      <c r="M44">
        <v>54</v>
      </c>
      <c r="N44">
        <v>48</v>
      </c>
      <c r="O44">
        <v>333</v>
      </c>
    </row>
    <row r="45" spans="1:15">
      <c r="A45" s="5">
        <v>19</v>
      </c>
      <c r="B45">
        <v>2</v>
      </c>
      <c r="C45">
        <v>1</v>
      </c>
      <c r="D45">
        <v>1</v>
      </c>
      <c r="E45">
        <v>4</v>
      </c>
      <c r="H45" s="5" t="s">
        <v>10</v>
      </c>
      <c r="I45">
        <v>52</v>
      </c>
      <c r="J45">
        <v>60</v>
      </c>
      <c r="K45">
        <v>61</v>
      </c>
      <c r="L45">
        <v>55</v>
      </c>
      <c r="M45">
        <v>64</v>
      </c>
      <c r="N45">
        <v>66</v>
      </c>
      <c r="O45">
        <v>358</v>
      </c>
    </row>
    <row r="46" spans="1:15">
      <c r="A46" s="5">
        <v>20</v>
      </c>
      <c r="B46">
        <v>4</v>
      </c>
      <c r="C46">
        <v>2</v>
      </c>
      <c r="D46">
        <v>1</v>
      </c>
      <c r="E46">
        <v>7</v>
      </c>
      <c r="H46" s="5" t="s">
        <v>21</v>
      </c>
      <c r="I46">
        <v>48</v>
      </c>
      <c r="J46">
        <v>48</v>
      </c>
      <c r="K46">
        <v>59</v>
      </c>
      <c r="L46">
        <v>44</v>
      </c>
      <c r="M46">
        <v>57</v>
      </c>
      <c r="N46">
        <v>53</v>
      </c>
      <c r="O46">
        <v>309</v>
      </c>
    </row>
    <row r="47" spans="1:15">
      <c r="A47" s="5">
        <v>21</v>
      </c>
      <c r="B47">
        <v>3</v>
      </c>
      <c r="C47">
        <v>1</v>
      </c>
      <c r="D47">
        <v>1</v>
      </c>
      <c r="E47">
        <v>5</v>
      </c>
      <c r="H47" s="5" t="s">
        <v>146</v>
      </c>
      <c r="I47">
        <v>156</v>
      </c>
      <c r="J47">
        <v>160</v>
      </c>
      <c r="K47">
        <v>191</v>
      </c>
      <c r="L47">
        <v>151</v>
      </c>
      <c r="M47">
        <v>175</v>
      </c>
      <c r="N47">
        <v>167</v>
      </c>
      <c r="O47">
        <v>1000</v>
      </c>
    </row>
    <row r="48" spans="1:15">
      <c r="A48" s="5">
        <v>22</v>
      </c>
      <c r="B48">
        <v>3</v>
      </c>
      <c r="C48">
        <v>3</v>
      </c>
      <c r="D48">
        <v>2</v>
      </c>
      <c r="E48">
        <v>8</v>
      </c>
    </row>
    <row r="49" spans="1:12">
      <c r="A49" s="5">
        <v>23</v>
      </c>
      <c r="B49">
        <v>2</v>
      </c>
      <c r="C49">
        <v>2</v>
      </c>
      <c r="D49">
        <v>3</v>
      </c>
      <c r="E49">
        <v>7</v>
      </c>
    </row>
    <row r="50" spans="1:12" ht="28.5">
      <c r="A50" s="5">
        <v>24</v>
      </c>
      <c r="B50">
        <v>3</v>
      </c>
      <c r="C50">
        <v>3</v>
      </c>
      <c r="D50">
        <v>2</v>
      </c>
      <c r="E50">
        <v>8</v>
      </c>
      <c r="H50" s="10" t="s">
        <v>174</v>
      </c>
    </row>
    <row r="51" spans="1:12">
      <c r="A51" s="5">
        <v>25</v>
      </c>
      <c r="B51">
        <v>6</v>
      </c>
      <c r="C51">
        <v>4</v>
      </c>
      <c r="D51">
        <v>1</v>
      </c>
      <c r="E51">
        <v>11</v>
      </c>
      <c r="H51" t="s">
        <v>176</v>
      </c>
    </row>
    <row r="52" spans="1:12">
      <c r="A52" s="5">
        <v>26</v>
      </c>
      <c r="B52">
        <v>3</v>
      </c>
      <c r="C52">
        <v>5</v>
      </c>
      <c r="D52">
        <v>1</v>
      </c>
      <c r="E52">
        <v>9</v>
      </c>
      <c r="H52" s="4" t="s">
        <v>160</v>
      </c>
      <c r="I52" s="4" t="s">
        <v>152</v>
      </c>
    </row>
    <row r="53" spans="1:12">
      <c r="A53" s="5">
        <v>27</v>
      </c>
      <c r="B53">
        <v>4</v>
      </c>
      <c r="C53">
        <v>4</v>
      </c>
      <c r="D53">
        <v>4</v>
      </c>
      <c r="E53">
        <v>12</v>
      </c>
      <c r="H53" s="4" t="s">
        <v>5</v>
      </c>
      <c r="I53" t="s">
        <v>16</v>
      </c>
      <c r="J53" t="s">
        <v>20</v>
      </c>
      <c r="K53" t="s">
        <v>11</v>
      </c>
      <c r="L53" t="s">
        <v>146</v>
      </c>
    </row>
    <row r="54" spans="1:12">
      <c r="A54" s="5">
        <v>28</v>
      </c>
      <c r="B54">
        <v>8</v>
      </c>
      <c r="C54">
        <v>3</v>
      </c>
      <c r="D54">
        <v>1</v>
      </c>
      <c r="E54">
        <v>12</v>
      </c>
      <c r="H54" s="5" t="s">
        <v>18</v>
      </c>
      <c r="I54">
        <v>104</v>
      </c>
      <c r="J54">
        <v>119</v>
      </c>
      <c r="K54">
        <v>110</v>
      </c>
      <c r="L54">
        <v>333</v>
      </c>
    </row>
    <row r="55" spans="1:12">
      <c r="A55" s="5">
        <v>29</v>
      </c>
      <c r="B55">
        <v>3</v>
      </c>
      <c r="C55">
        <v>4</v>
      </c>
      <c r="E55">
        <v>7</v>
      </c>
      <c r="H55" s="5" t="s">
        <v>10</v>
      </c>
      <c r="I55">
        <v>101</v>
      </c>
      <c r="J55">
        <v>135</v>
      </c>
      <c r="K55">
        <v>122</v>
      </c>
      <c r="L55">
        <v>358</v>
      </c>
    </row>
    <row r="56" spans="1:12">
      <c r="A56" s="5">
        <v>30</v>
      </c>
      <c r="B56">
        <v>5</v>
      </c>
      <c r="C56">
        <v>4</v>
      </c>
      <c r="E56">
        <v>9</v>
      </c>
      <c r="H56" s="5" t="s">
        <v>21</v>
      </c>
      <c r="I56">
        <v>92</v>
      </c>
      <c r="J56">
        <v>98</v>
      </c>
      <c r="K56">
        <v>119</v>
      </c>
      <c r="L56">
        <v>309</v>
      </c>
    </row>
    <row r="57" spans="1:12">
      <c r="A57" s="5">
        <v>31</v>
      </c>
      <c r="B57">
        <v>6</v>
      </c>
      <c r="C57">
        <v>2</v>
      </c>
      <c r="D57">
        <v>4</v>
      </c>
      <c r="E57">
        <v>12</v>
      </c>
      <c r="H57" s="5" t="s">
        <v>146</v>
      </c>
      <c r="I57">
        <v>297</v>
      </c>
      <c r="J57">
        <v>352</v>
      </c>
      <c r="K57">
        <v>351</v>
      </c>
      <c r="L57">
        <v>1000</v>
      </c>
    </row>
    <row r="58" spans="1:12">
      <c r="A58" s="5">
        <v>32</v>
      </c>
      <c r="B58">
        <v>1</v>
      </c>
      <c r="C58">
        <v>2</v>
      </c>
      <c r="D58">
        <v>2</v>
      </c>
      <c r="E58">
        <v>5</v>
      </c>
    </row>
    <row r="59" spans="1:12">
      <c r="A59" s="5">
        <v>33</v>
      </c>
      <c r="B59">
        <v>2</v>
      </c>
      <c r="C59">
        <v>3</v>
      </c>
      <c r="D59">
        <v>6</v>
      </c>
      <c r="E59">
        <v>11</v>
      </c>
      <c r="H59" s="8" t="s">
        <v>177</v>
      </c>
    </row>
    <row r="60" spans="1:12">
      <c r="A60" s="5">
        <v>34</v>
      </c>
      <c r="B60">
        <v>1</v>
      </c>
      <c r="C60">
        <v>7</v>
      </c>
      <c r="D60">
        <v>1</v>
      </c>
      <c r="E60">
        <v>9</v>
      </c>
      <c r="H60" s="4" t="s">
        <v>177</v>
      </c>
      <c r="I60" t="s">
        <v>158</v>
      </c>
      <c r="J60" t="s">
        <v>148</v>
      </c>
    </row>
    <row r="61" spans="1:12">
      <c r="A61" s="5">
        <v>35</v>
      </c>
      <c r="B61">
        <v>4</v>
      </c>
      <c r="C61">
        <v>5</v>
      </c>
      <c r="D61">
        <v>2</v>
      </c>
      <c r="E61">
        <v>11</v>
      </c>
      <c r="H61" s="5" t="s">
        <v>16</v>
      </c>
      <c r="I61">
        <v>149035.87999999992</v>
      </c>
      <c r="J61">
        <v>151717</v>
      </c>
    </row>
    <row r="62" spans="1:12">
      <c r="A62" s="5">
        <v>36</v>
      </c>
      <c r="B62">
        <v>3</v>
      </c>
      <c r="C62">
        <v>5</v>
      </c>
      <c r="D62">
        <v>4</v>
      </c>
      <c r="E62">
        <v>12</v>
      </c>
      <c r="H62" s="5" t="s">
        <v>20</v>
      </c>
      <c r="I62">
        <v>185178.29</v>
      </c>
      <c r="J62">
        <v>170572</v>
      </c>
    </row>
    <row r="63" spans="1:12">
      <c r="A63" s="5">
        <v>37</v>
      </c>
      <c r="B63">
        <v>3</v>
      </c>
      <c r="C63">
        <v>1</v>
      </c>
      <c r="D63">
        <v>4</v>
      </c>
      <c r="E63">
        <v>8</v>
      </c>
      <c r="H63" s="5" t="s">
        <v>11</v>
      </c>
      <c r="I63">
        <v>173412.98</v>
      </c>
      <c r="J63">
        <v>178211</v>
      </c>
    </row>
    <row r="64" spans="1:12">
      <c r="A64" s="5">
        <v>38</v>
      </c>
      <c r="B64">
        <v>4</v>
      </c>
      <c r="C64">
        <v>4</v>
      </c>
      <c r="E64">
        <v>8</v>
      </c>
      <c r="H64" s="5" t="s">
        <v>146</v>
      </c>
      <c r="I64">
        <v>507627.14999999991</v>
      </c>
      <c r="J64">
        <v>500500</v>
      </c>
    </row>
    <row r="65" spans="1:11">
      <c r="A65" s="5">
        <v>39</v>
      </c>
      <c r="B65">
        <v>4</v>
      </c>
      <c r="C65">
        <v>3</v>
      </c>
      <c r="D65">
        <v>4</v>
      </c>
      <c r="E65">
        <v>11</v>
      </c>
    </row>
    <row r="66" spans="1:11">
      <c r="A66" s="5">
        <v>40</v>
      </c>
      <c r="B66">
        <v>1</v>
      </c>
      <c r="C66">
        <v>3</v>
      </c>
      <c r="D66">
        <v>3</v>
      </c>
      <c r="E66">
        <v>7</v>
      </c>
    </row>
    <row r="67" spans="1:11">
      <c r="A67" s="5">
        <v>41</v>
      </c>
      <c r="B67">
        <v>1</v>
      </c>
      <c r="C67">
        <v>3</v>
      </c>
      <c r="D67">
        <v>7</v>
      </c>
      <c r="E67">
        <v>11</v>
      </c>
    </row>
    <row r="68" spans="1:11" ht="28.5">
      <c r="A68" s="5">
        <v>42</v>
      </c>
      <c r="B68">
        <v>1</v>
      </c>
      <c r="C68">
        <v>4</v>
      </c>
      <c r="E68">
        <v>5</v>
      </c>
      <c r="H68" s="13" t="s">
        <v>179</v>
      </c>
    </row>
    <row r="69" spans="1:11">
      <c r="A69" s="5">
        <v>43</v>
      </c>
      <c r="B69">
        <v>5</v>
      </c>
      <c r="C69">
        <v>4</v>
      </c>
      <c r="D69">
        <v>4</v>
      </c>
      <c r="E69">
        <v>13</v>
      </c>
    </row>
    <row r="70" spans="1:11">
      <c r="A70" s="5">
        <v>44</v>
      </c>
      <c r="C70">
        <v>6</v>
      </c>
      <c r="D70">
        <v>5</v>
      </c>
      <c r="E70">
        <v>11</v>
      </c>
      <c r="H70" s="4" t="s">
        <v>182</v>
      </c>
      <c r="I70" t="s">
        <v>158</v>
      </c>
      <c r="J70" t="s">
        <v>180</v>
      </c>
      <c r="K70" t="s">
        <v>181</v>
      </c>
    </row>
    <row r="71" spans="1:11">
      <c r="A71" s="5">
        <v>45</v>
      </c>
      <c r="B71">
        <v>5</v>
      </c>
      <c r="C71">
        <v>5</v>
      </c>
      <c r="D71">
        <v>5</v>
      </c>
      <c r="E71">
        <v>15</v>
      </c>
      <c r="H71" s="5">
        <v>81</v>
      </c>
      <c r="I71">
        <v>11740.64</v>
      </c>
      <c r="J71">
        <f>GETPIVOTDATA("repair_cost",$H$70,"product_id",81)</f>
        <v>11740.64</v>
      </c>
      <c r="K71" s="14">
        <f>J71/$I$171</f>
        <v>2.3128471359343171E-2</v>
      </c>
    </row>
    <row r="72" spans="1:11">
      <c r="A72" s="5">
        <v>46</v>
      </c>
      <c r="B72">
        <v>5</v>
      </c>
      <c r="C72">
        <v>3</v>
      </c>
      <c r="D72">
        <v>5</v>
      </c>
      <c r="E72">
        <v>13</v>
      </c>
      <c r="H72" s="5">
        <v>10</v>
      </c>
      <c r="I72">
        <v>10084.92</v>
      </c>
      <c r="J72">
        <f>J71+I72</f>
        <v>21825.559999999998</v>
      </c>
      <c r="K72" s="14">
        <f>J72/$I$171</f>
        <v>4.2995257444366393E-2</v>
      </c>
    </row>
    <row r="73" spans="1:11">
      <c r="A73" s="5">
        <v>47</v>
      </c>
      <c r="B73">
        <v>3</v>
      </c>
      <c r="C73">
        <v>4</v>
      </c>
      <c r="D73">
        <v>4</v>
      </c>
      <c r="E73">
        <v>11</v>
      </c>
      <c r="H73" s="5">
        <v>56</v>
      </c>
      <c r="I73">
        <v>9916.3000000000029</v>
      </c>
      <c r="J73">
        <f>J72+I73</f>
        <v>31741.86</v>
      </c>
      <c r="K73" s="14">
        <f t="shared" ref="K73:K136" si="0">J73/$I$171</f>
        <v>6.2529870594982953E-2</v>
      </c>
    </row>
    <row r="74" spans="1:11">
      <c r="A74" s="5">
        <v>48</v>
      </c>
      <c r="B74">
        <v>3</v>
      </c>
      <c r="C74">
        <v>2</v>
      </c>
      <c r="D74">
        <v>2</v>
      </c>
      <c r="E74">
        <v>7</v>
      </c>
      <c r="H74" s="5">
        <v>45</v>
      </c>
      <c r="I74">
        <v>9532.3599999999988</v>
      </c>
      <c r="J74">
        <f t="shared" ref="J74:J137" si="1">J73+I74</f>
        <v>41274.22</v>
      </c>
      <c r="K74" s="14">
        <f t="shared" si="0"/>
        <v>8.1308141221366897E-2</v>
      </c>
    </row>
    <row r="75" spans="1:11">
      <c r="A75" s="5">
        <v>49</v>
      </c>
      <c r="B75">
        <v>4</v>
      </c>
      <c r="C75">
        <v>4</v>
      </c>
      <c r="D75">
        <v>4</v>
      </c>
      <c r="E75">
        <v>12</v>
      </c>
      <c r="H75" s="5">
        <v>63</v>
      </c>
      <c r="I75">
        <v>9174.06</v>
      </c>
      <c r="J75">
        <f t="shared" si="1"/>
        <v>50448.28</v>
      </c>
      <c r="K75" s="14">
        <f t="shared" si="0"/>
        <v>9.938057883625806E-2</v>
      </c>
    </row>
    <row r="76" spans="1:11">
      <c r="A76" s="5">
        <v>50</v>
      </c>
      <c r="B76">
        <v>3</v>
      </c>
      <c r="C76">
        <v>2</v>
      </c>
      <c r="D76">
        <v>3</v>
      </c>
      <c r="E76">
        <v>8</v>
      </c>
      <c r="H76" s="5">
        <v>6</v>
      </c>
      <c r="I76">
        <v>8733.81</v>
      </c>
      <c r="J76">
        <f t="shared" si="1"/>
        <v>59182.09</v>
      </c>
      <c r="K76" s="14">
        <f t="shared" si="0"/>
        <v>0.11658574605396893</v>
      </c>
    </row>
    <row r="77" spans="1:11">
      <c r="A77" s="5">
        <v>51</v>
      </c>
      <c r="B77">
        <v>8</v>
      </c>
      <c r="C77">
        <v>4</v>
      </c>
      <c r="D77">
        <v>1</v>
      </c>
      <c r="E77">
        <v>13</v>
      </c>
      <c r="H77" s="5">
        <v>74</v>
      </c>
      <c r="I77">
        <v>8460.5400000000009</v>
      </c>
      <c r="J77">
        <f t="shared" si="1"/>
        <v>67642.63</v>
      </c>
      <c r="K77" s="14">
        <f t="shared" si="0"/>
        <v>0.13325258509124266</v>
      </c>
    </row>
    <row r="78" spans="1:11">
      <c r="A78" s="5">
        <v>52</v>
      </c>
      <c r="B78">
        <v>2</v>
      </c>
      <c r="C78">
        <v>1</v>
      </c>
      <c r="D78">
        <v>1</v>
      </c>
      <c r="E78">
        <v>4</v>
      </c>
      <c r="H78" s="5">
        <v>49</v>
      </c>
      <c r="I78">
        <v>8419.2199999999993</v>
      </c>
      <c r="J78">
        <f t="shared" si="1"/>
        <v>76061.850000000006</v>
      </c>
      <c r="K78" s="14">
        <f t="shared" si="0"/>
        <v>0.14983802580299341</v>
      </c>
    </row>
    <row r="79" spans="1:11">
      <c r="A79" s="5">
        <v>53</v>
      </c>
      <c r="B79">
        <v>2</v>
      </c>
      <c r="C79">
        <v>2</v>
      </c>
      <c r="D79">
        <v>2</v>
      </c>
      <c r="E79">
        <v>6</v>
      </c>
      <c r="H79" s="5">
        <v>97</v>
      </c>
      <c r="I79">
        <v>8405.84</v>
      </c>
      <c r="J79">
        <f t="shared" si="1"/>
        <v>84467.69</v>
      </c>
      <c r="K79" s="14">
        <f t="shared" si="0"/>
        <v>0.16639710858648912</v>
      </c>
    </row>
    <row r="80" spans="1:11">
      <c r="A80" s="5">
        <v>54</v>
      </c>
      <c r="B80">
        <v>1</v>
      </c>
      <c r="C80">
        <v>5</v>
      </c>
      <c r="D80">
        <v>3</v>
      </c>
      <c r="E80">
        <v>9</v>
      </c>
      <c r="H80" s="5">
        <v>77</v>
      </c>
      <c r="I80">
        <v>7657.3700000000008</v>
      </c>
      <c r="J80">
        <f t="shared" si="1"/>
        <v>92125.06</v>
      </c>
      <c r="K80" s="14">
        <f t="shared" si="0"/>
        <v>0.18148174304703757</v>
      </c>
    </row>
    <row r="81" spans="1:11">
      <c r="A81" s="5">
        <v>55</v>
      </c>
      <c r="B81">
        <v>2</v>
      </c>
      <c r="C81">
        <v>1</v>
      </c>
      <c r="E81">
        <v>3</v>
      </c>
      <c r="H81" s="5">
        <v>92</v>
      </c>
      <c r="I81">
        <v>7588.8399999999992</v>
      </c>
      <c r="J81">
        <f t="shared" si="1"/>
        <v>99713.9</v>
      </c>
      <c r="K81" s="14">
        <f t="shared" si="0"/>
        <v>0.19643137684814532</v>
      </c>
    </row>
    <row r="82" spans="1:11">
      <c r="A82" s="5">
        <v>56</v>
      </c>
      <c r="B82">
        <v>3</v>
      </c>
      <c r="C82">
        <v>9</v>
      </c>
      <c r="D82">
        <v>6</v>
      </c>
      <c r="E82">
        <v>18</v>
      </c>
      <c r="H82" s="5">
        <v>43</v>
      </c>
      <c r="I82">
        <v>7540.6299999999992</v>
      </c>
      <c r="J82">
        <f t="shared" si="1"/>
        <v>107254.53</v>
      </c>
      <c r="K82" s="14">
        <f t="shared" si="0"/>
        <v>0.21128603936964363</v>
      </c>
    </row>
    <row r="83" spans="1:11">
      <c r="A83" s="5">
        <v>57</v>
      </c>
      <c r="B83">
        <v>2</v>
      </c>
      <c r="C83">
        <v>2</v>
      </c>
      <c r="D83">
        <v>2</v>
      </c>
      <c r="E83">
        <v>6</v>
      </c>
      <c r="H83" s="5">
        <v>79</v>
      </c>
      <c r="I83">
        <v>7426.3</v>
      </c>
      <c r="J83">
        <f t="shared" si="1"/>
        <v>114680.83</v>
      </c>
      <c r="K83" s="14">
        <f t="shared" si="0"/>
        <v>0.22591547753109736</v>
      </c>
    </row>
    <row r="84" spans="1:11">
      <c r="A84" s="5">
        <v>58</v>
      </c>
      <c r="B84">
        <v>3</v>
      </c>
      <c r="C84">
        <v>3</v>
      </c>
      <c r="D84">
        <v>4</v>
      </c>
      <c r="E84">
        <v>10</v>
      </c>
      <c r="H84" s="5">
        <v>17</v>
      </c>
      <c r="I84">
        <v>7294.7</v>
      </c>
      <c r="J84">
        <f t="shared" si="1"/>
        <v>121975.53</v>
      </c>
      <c r="K84" s="14">
        <f t="shared" si="0"/>
        <v>0.24028567029954956</v>
      </c>
    </row>
    <row r="85" spans="1:11">
      <c r="A85" s="5">
        <v>59</v>
      </c>
      <c r="B85">
        <v>2</v>
      </c>
      <c r="C85">
        <v>3</v>
      </c>
      <c r="D85">
        <v>1</v>
      </c>
      <c r="E85">
        <v>6</v>
      </c>
      <c r="H85" s="5">
        <v>86</v>
      </c>
      <c r="I85">
        <v>7140.7300000000014</v>
      </c>
      <c r="J85">
        <f t="shared" si="1"/>
        <v>129116.26</v>
      </c>
      <c r="K85" s="14">
        <f t="shared" si="0"/>
        <v>0.25435254989808953</v>
      </c>
    </row>
    <row r="86" spans="1:11">
      <c r="A86" s="5">
        <v>60</v>
      </c>
      <c r="B86">
        <v>3</v>
      </c>
      <c r="C86">
        <v>2</v>
      </c>
      <c r="D86">
        <v>5</v>
      </c>
      <c r="E86">
        <v>10</v>
      </c>
      <c r="H86" s="5">
        <v>67</v>
      </c>
      <c r="I86">
        <v>6765.74</v>
      </c>
      <c r="J86">
        <f t="shared" si="1"/>
        <v>135882</v>
      </c>
      <c r="K86" s="14">
        <f t="shared" si="0"/>
        <v>0.26768071802306082</v>
      </c>
    </row>
    <row r="87" spans="1:11">
      <c r="A87" s="5">
        <v>61</v>
      </c>
      <c r="B87">
        <v>7</v>
      </c>
      <c r="C87">
        <v>3</v>
      </c>
      <c r="D87">
        <v>1</v>
      </c>
      <c r="E87">
        <v>11</v>
      </c>
      <c r="H87" s="5">
        <v>51</v>
      </c>
      <c r="I87">
        <v>6671.68</v>
      </c>
      <c r="J87">
        <f t="shared" si="1"/>
        <v>142553.68</v>
      </c>
      <c r="K87" s="14">
        <f t="shared" si="0"/>
        <v>0.28082359267032897</v>
      </c>
    </row>
    <row r="88" spans="1:11">
      <c r="A88" s="5">
        <v>62</v>
      </c>
      <c r="B88">
        <v>1</v>
      </c>
      <c r="C88">
        <v>4</v>
      </c>
      <c r="D88">
        <v>4</v>
      </c>
      <c r="E88">
        <v>9</v>
      </c>
      <c r="H88" s="5">
        <v>27</v>
      </c>
      <c r="I88">
        <v>6663.1</v>
      </c>
      <c r="J88">
        <f t="shared" si="1"/>
        <v>149216.78</v>
      </c>
      <c r="K88" s="14">
        <f t="shared" si="0"/>
        <v>0.29394956514835741</v>
      </c>
    </row>
    <row r="89" spans="1:11">
      <c r="A89" s="5">
        <v>63</v>
      </c>
      <c r="B89">
        <v>7</v>
      </c>
      <c r="C89">
        <v>7</v>
      </c>
      <c r="D89">
        <v>6</v>
      </c>
      <c r="E89">
        <v>20</v>
      </c>
      <c r="H89" s="5">
        <v>1</v>
      </c>
      <c r="I89">
        <v>6652.5899999999983</v>
      </c>
      <c r="J89">
        <f t="shared" si="1"/>
        <v>155869.37</v>
      </c>
      <c r="K89" s="14">
        <f t="shared" si="0"/>
        <v>0.307054833454042</v>
      </c>
    </row>
    <row r="90" spans="1:11">
      <c r="A90" s="5">
        <v>64</v>
      </c>
      <c r="B90">
        <v>1</v>
      </c>
      <c r="C90">
        <v>6</v>
      </c>
      <c r="D90">
        <v>4</v>
      </c>
      <c r="E90">
        <v>11</v>
      </c>
      <c r="H90" s="5">
        <v>12</v>
      </c>
      <c r="I90">
        <v>6583.6500000000005</v>
      </c>
      <c r="J90">
        <f t="shared" si="1"/>
        <v>162453.01999999999</v>
      </c>
      <c r="K90" s="14">
        <f t="shared" si="0"/>
        <v>0.32002429342086997</v>
      </c>
    </row>
    <row r="91" spans="1:11">
      <c r="A91" s="5">
        <v>65</v>
      </c>
      <c r="B91">
        <v>2</v>
      </c>
      <c r="C91">
        <v>6</v>
      </c>
      <c r="D91">
        <v>3</v>
      </c>
      <c r="E91">
        <v>11</v>
      </c>
      <c r="H91" s="5">
        <v>46</v>
      </c>
      <c r="I91">
        <v>6520.4900000000007</v>
      </c>
      <c r="J91">
        <f t="shared" si="1"/>
        <v>168973.50999999998</v>
      </c>
      <c r="K91" s="14">
        <f t="shared" si="0"/>
        <v>0.3328693313586556</v>
      </c>
    </row>
    <row r="92" spans="1:11">
      <c r="A92" s="5">
        <v>66</v>
      </c>
      <c r="B92">
        <v>6</v>
      </c>
      <c r="C92">
        <v>2</v>
      </c>
      <c r="D92">
        <v>3</v>
      </c>
      <c r="E92">
        <v>11</v>
      </c>
      <c r="H92" s="5">
        <v>7</v>
      </c>
      <c r="I92">
        <v>6496.2200000000012</v>
      </c>
      <c r="J92">
        <f t="shared" si="1"/>
        <v>175469.72999999998</v>
      </c>
      <c r="K92" s="14">
        <f t="shared" si="0"/>
        <v>0.34566655861492035</v>
      </c>
    </row>
    <row r="93" spans="1:11">
      <c r="A93" s="5">
        <v>67</v>
      </c>
      <c r="B93">
        <v>4</v>
      </c>
      <c r="C93">
        <v>5</v>
      </c>
      <c r="D93">
        <v>3</v>
      </c>
      <c r="E93">
        <v>12</v>
      </c>
      <c r="H93" s="5">
        <v>4</v>
      </c>
      <c r="I93">
        <v>6495.4500000000007</v>
      </c>
      <c r="J93">
        <f t="shared" si="1"/>
        <v>181965.18</v>
      </c>
      <c r="K93" s="14">
        <f t="shared" si="0"/>
        <v>0.35846226900984313</v>
      </c>
    </row>
    <row r="94" spans="1:11">
      <c r="A94" s="5">
        <v>68</v>
      </c>
      <c r="B94">
        <v>3</v>
      </c>
      <c r="C94">
        <v>2</v>
      </c>
      <c r="D94">
        <v>2</v>
      </c>
      <c r="E94">
        <v>7</v>
      </c>
      <c r="H94" s="5">
        <v>60</v>
      </c>
      <c r="I94">
        <v>6311.34</v>
      </c>
      <c r="J94">
        <f t="shared" si="1"/>
        <v>188276.52</v>
      </c>
      <c r="K94" s="14">
        <f t="shared" si="0"/>
        <v>0.370895291948037</v>
      </c>
    </row>
    <row r="95" spans="1:11">
      <c r="A95" s="5">
        <v>69</v>
      </c>
      <c r="B95">
        <v>3</v>
      </c>
      <c r="C95">
        <v>2</v>
      </c>
      <c r="D95">
        <v>3</v>
      </c>
      <c r="E95">
        <v>8</v>
      </c>
      <c r="H95" s="5">
        <v>8</v>
      </c>
      <c r="I95">
        <v>6308.05</v>
      </c>
      <c r="J95">
        <f t="shared" si="1"/>
        <v>194584.56999999998</v>
      </c>
      <c r="K95" s="14">
        <f t="shared" si="0"/>
        <v>0.38332183375140588</v>
      </c>
    </row>
    <row r="96" spans="1:11">
      <c r="A96" s="5">
        <v>70</v>
      </c>
      <c r="B96">
        <v>2</v>
      </c>
      <c r="C96">
        <v>3</v>
      </c>
      <c r="D96">
        <v>3</v>
      </c>
      <c r="E96">
        <v>8</v>
      </c>
      <c r="H96" s="5">
        <v>31</v>
      </c>
      <c r="I96">
        <v>6299.77</v>
      </c>
      <c r="J96">
        <f t="shared" si="1"/>
        <v>200884.33999999997</v>
      </c>
      <c r="K96" s="14">
        <f t="shared" si="0"/>
        <v>0.39573206437047342</v>
      </c>
    </row>
    <row r="97" spans="1:11">
      <c r="A97" s="5">
        <v>71</v>
      </c>
      <c r="B97">
        <v>3</v>
      </c>
      <c r="C97">
        <v>1</v>
      </c>
      <c r="D97">
        <v>2</v>
      </c>
      <c r="E97">
        <v>6</v>
      </c>
      <c r="H97" s="5">
        <v>47</v>
      </c>
      <c r="I97">
        <v>6275.88</v>
      </c>
      <c r="J97">
        <f t="shared" si="1"/>
        <v>207160.21999999997</v>
      </c>
      <c r="K97" s="14">
        <f t="shared" si="0"/>
        <v>0.40809523288894212</v>
      </c>
    </row>
    <row r="98" spans="1:11">
      <c r="A98" s="5">
        <v>72</v>
      </c>
      <c r="B98">
        <v>3</v>
      </c>
      <c r="C98">
        <v>4</v>
      </c>
      <c r="D98">
        <v>3</v>
      </c>
      <c r="E98">
        <v>10</v>
      </c>
      <c r="H98" s="5">
        <v>87</v>
      </c>
      <c r="I98">
        <v>6245.17</v>
      </c>
      <c r="J98">
        <f t="shared" si="1"/>
        <v>213405.38999999998</v>
      </c>
      <c r="K98" s="14">
        <f t="shared" si="0"/>
        <v>0.4203979042492112</v>
      </c>
    </row>
    <row r="99" spans="1:11">
      <c r="A99" s="5">
        <v>73</v>
      </c>
      <c r="B99">
        <v>2</v>
      </c>
      <c r="C99">
        <v>2</v>
      </c>
      <c r="D99">
        <v>2</v>
      </c>
      <c r="E99">
        <v>6</v>
      </c>
      <c r="H99" s="5">
        <v>95</v>
      </c>
      <c r="I99">
        <v>6125.7800000000007</v>
      </c>
      <c r="J99">
        <f t="shared" si="1"/>
        <v>219531.16999999998</v>
      </c>
      <c r="K99" s="14">
        <f t="shared" si="0"/>
        <v>0.43246538330347378</v>
      </c>
    </row>
    <row r="100" spans="1:11">
      <c r="A100" s="5">
        <v>74</v>
      </c>
      <c r="B100">
        <v>4</v>
      </c>
      <c r="C100">
        <v>3</v>
      </c>
      <c r="D100">
        <v>8</v>
      </c>
      <c r="E100">
        <v>15</v>
      </c>
      <c r="H100" s="5">
        <v>58</v>
      </c>
      <c r="I100">
        <v>6038.7699999999995</v>
      </c>
      <c r="J100">
        <f t="shared" si="1"/>
        <v>225569.93999999997</v>
      </c>
      <c r="K100" s="14">
        <f t="shared" si="0"/>
        <v>0.44436145702608687</v>
      </c>
    </row>
    <row r="101" spans="1:11">
      <c r="A101" s="5">
        <v>75</v>
      </c>
      <c r="B101">
        <v>2</v>
      </c>
      <c r="C101">
        <v>3</v>
      </c>
      <c r="D101">
        <v>4</v>
      </c>
      <c r="E101">
        <v>9</v>
      </c>
      <c r="H101" s="5">
        <v>61</v>
      </c>
      <c r="I101">
        <v>5967.51</v>
      </c>
      <c r="J101">
        <f t="shared" si="1"/>
        <v>231537.44999999998</v>
      </c>
      <c r="K101" s="14">
        <f t="shared" si="0"/>
        <v>0.45611715212631943</v>
      </c>
    </row>
    <row r="102" spans="1:11">
      <c r="A102" s="5">
        <v>76</v>
      </c>
      <c r="B102">
        <v>2</v>
      </c>
      <c r="C102">
        <v>4</v>
      </c>
      <c r="D102">
        <v>5</v>
      </c>
      <c r="E102">
        <v>11</v>
      </c>
      <c r="H102" s="5">
        <v>96</v>
      </c>
      <c r="I102">
        <v>5929.2300000000005</v>
      </c>
      <c r="J102">
        <f t="shared" si="1"/>
        <v>237466.68</v>
      </c>
      <c r="K102" s="14">
        <f t="shared" si="0"/>
        <v>0.4677974375484053</v>
      </c>
    </row>
    <row r="103" spans="1:11">
      <c r="A103" s="5">
        <v>77</v>
      </c>
      <c r="B103">
        <v>5</v>
      </c>
      <c r="C103">
        <v>5</v>
      </c>
      <c r="D103">
        <v>4</v>
      </c>
      <c r="E103">
        <v>14</v>
      </c>
      <c r="H103" s="5">
        <v>69</v>
      </c>
      <c r="I103">
        <v>5917.02</v>
      </c>
      <c r="J103">
        <f t="shared" si="1"/>
        <v>243383.69999999998</v>
      </c>
      <c r="K103" s="14">
        <f t="shared" si="0"/>
        <v>0.47945366988349614</v>
      </c>
    </row>
    <row r="104" spans="1:11">
      <c r="A104" s="5">
        <v>78</v>
      </c>
      <c r="B104">
        <v>2</v>
      </c>
      <c r="C104">
        <v>2</v>
      </c>
      <c r="D104">
        <v>1</v>
      </c>
      <c r="E104">
        <v>5</v>
      </c>
      <c r="H104" s="5">
        <v>5</v>
      </c>
      <c r="I104">
        <v>5912.5100000000011</v>
      </c>
      <c r="J104">
        <f t="shared" si="1"/>
        <v>249296.21</v>
      </c>
      <c r="K104" s="14">
        <f t="shared" si="0"/>
        <v>0.49110101774501225</v>
      </c>
    </row>
    <row r="105" spans="1:11">
      <c r="A105" s="5">
        <v>79</v>
      </c>
      <c r="B105">
        <v>3</v>
      </c>
      <c r="C105">
        <v>4</v>
      </c>
      <c r="D105">
        <v>6</v>
      </c>
      <c r="E105">
        <v>13</v>
      </c>
      <c r="H105" s="5">
        <v>66</v>
      </c>
      <c r="I105">
        <v>5873.5999999999995</v>
      </c>
      <c r="J105">
        <f t="shared" si="1"/>
        <v>255169.81</v>
      </c>
      <c r="K105" s="14">
        <f t="shared" si="0"/>
        <v>0.50267171486001094</v>
      </c>
    </row>
    <row r="106" spans="1:11">
      <c r="A106" s="5">
        <v>80</v>
      </c>
      <c r="B106">
        <v>2</v>
      </c>
      <c r="C106">
        <v>3</v>
      </c>
      <c r="D106">
        <v>6</v>
      </c>
      <c r="E106">
        <v>11</v>
      </c>
      <c r="H106" s="5">
        <v>35</v>
      </c>
      <c r="I106">
        <v>5862.079999999999</v>
      </c>
      <c r="J106">
        <f t="shared" si="1"/>
        <v>261031.88999999998</v>
      </c>
      <c r="K106" s="14">
        <f t="shared" si="0"/>
        <v>0.51421971815337297</v>
      </c>
    </row>
    <row r="107" spans="1:11">
      <c r="A107" s="5">
        <v>81</v>
      </c>
      <c r="B107">
        <v>7</v>
      </c>
      <c r="C107">
        <v>6</v>
      </c>
      <c r="D107">
        <v>7</v>
      </c>
      <c r="E107">
        <v>20</v>
      </c>
      <c r="H107" s="5">
        <v>41</v>
      </c>
      <c r="I107">
        <v>5833.53</v>
      </c>
      <c r="J107">
        <f t="shared" si="1"/>
        <v>266865.42</v>
      </c>
      <c r="K107" s="14">
        <f t="shared" si="0"/>
        <v>0.52571147938009222</v>
      </c>
    </row>
    <row r="108" spans="1:11">
      <c r="A108" s="5">
        <v>82</v>
      </c>
      <c r="B108">
        <v>3</v>
      </c>
      <c r="C108">
        <v>2</v>
      </c>
      <c r="D108">
        <v>3</v>
      </c>
      <c r="E108">
        <v>8</v>
      </c>
      <c r="H108" s="5">
        <v>14</v>
      </c>
      <c r="I108">
        <v>5693.66</v>
      </c>
      <c r="J108">
        <f t="shared" si="1"/>
        <v>272559.07999999996</v>
      </c>
      <c r="K108" s="14">
        <f t="shared" si="0"/>
        <v>0.53692770372900656</v>
      </c>
    </row>
    <row r="109" spans="1:11">
      <c r="A109" s="5">
        <v>83</v>
      </c>
      <c r="B109">
        <v>6</v>
      </c>
      <c r="C109">
        <v>3</v>
      </c>
      <c r="D109">
        <v>2</v>
      </c>
      <c r="E109">
        <v>11</v>
      </c>
      <c r="H109" s="5">
        <v>76</v>
      </c>
      <c r="I109">
        <v>5620.61</v>
      </c>
      <c r="J109">
        <f t="shared" si="1"/>
        <v>278179.68999999994</v>
      </c>
      <c r="K109" s="14">
        <f t="shared" si="0"/>
        <v>0.54800002324540742</v>
      </c>
    </row>
    <row r="110" spans="1:11">
      <c r="A110" s="5">
        <v>84</v>
      </c>
      <c r="B110">
        <v>4</v>
      </c>
      <c r="C110">
        <v>2</v>
      </c>
      <c r="D110">
        <v>1</v>
      </c>
      <c r="E110">
        <v>7</v>
      </c>
      <c r="H110" s="5">
        <v>99</v>
      </c>
      <c r="I110">
        <v>5598.1299999999992</v>
      </c>
      <c r="J110">
        <f t="shared" si="1"/>
        <v>283777.81999999995</v>
      </c>
      <c r="K110" s="14">
        <f t="shared" si="0"/>
        <v>0.55902805829042035</v>
      </c>
    </row>
    <row r="111" spans="1:11">
      <c r="A111" s="5">
        <v>85</v>
      </c>
      <c r="B111">
        <v>1</v>
      </c>
      <c r="C111">
        <v>2</v>
      </c>
      <c r="D111">
        <v>1</v>
      </c>
      <c r="E111">
        <v>4</v>
      </c>
      <c r="H111" s="5">
        <v>64</v>
      </c>
      <c r="I111">
        <v>5596.64</v>
      </c>
      <c r="J111">
        <f t="shared" si="1"/>
        <v>289374.45999999996</v>
      </c>
      <c r="K111" s="14">
        <f t="shared" si="0"/>
        <v>0.57005315811023893</v>
      </c>
    </row>
    <row r="112" spans="1:11">
      <c r="A112" s="5">
        <v>86</v>
      </c>
      <c r="B112">
        <v>5</v>
      </c>
      <c r="C112">
        <v>4</v>
      </c>
      <c r="D112">
        <v>5</v>
      </c>
      <c r="E112">
        <v>14</v>
      </c>
      <c r="H112" s="5">
        <v>75</v>
      </c>
      <c r="I112">
        <v>5583.3099999999995</v>
      </c>
      <c r="J112">
        <f t="shared" si="1"/>
        <v>294957.76999999996</v>
      </c>
      <c r="K112" s="14">
        <f t="shared" si="0"/>
        <v>0.58105199849929212</v>
      </c>
    </row>
    <row r="113" spans="1:11">
      <c r="A113" s="5">
        <v>87</v>
      </c>
      <c r="B113">
        <v>2</v>
      </c>
      <c r="C113">
        <v>7</v>
      </c>
      <c r="D113">
        <v>3</v>
      </c>
      <c r="E113">
        <v>12</v>
      </c>
      <c r="H113" s="5">
        <v>33</v>
      </c>
      <c r="I113">
        <v>5575.81</v>
      </c>
      <c r="J113">
        <f t="shared" si="1"/>
        <v>300533.57999999996</v>
      </c>
      <c r="K113" s="14">
        <f t="shared" si="0"/>
        <v>0.59203606426488409</v>
      </c>
    </row>
    <row r="114" spans="1:11">
      <c r="A114" s="5">
        <v>88</v>
      </c>
      <c r="B114">
        <v>1</v>
      </c>
      <c r="C114">
        <v>5</v>
      </c>
      <c r="D114">
        <v>2</v>
      </c>
      <c r="E114">
        <v>8</v>
      </c>
      <c r="H114" s="5">
        <v>28</v>
      </c>
      <c r="I114">
        <v>5540.8199999999988</v>
      </c>
      <c r="J114">
        <f t="shared" si="1"/>
        <v>306074.39999999997</v>
      </c>
      <c r="K114" s="14">
        <f t="shared" si="0"/>
        <v>0.60295120148715442</v>
      </c>
    </row>
    <row r="115" spans="1:11">
      <c r="A115" s="5">
        <v>89</v>
      </c>
      <c r="B115">
        <v>1</v>
      </c>
      <c r="C115">
        <v>1</v>
      </c>
      <c r="D115">
        <v>2</v>
      </c>
      <c r="E115">
        <v>4</v>
      </c>
      <c r="H115" s="5">
        <v>65</v>
      </c>
      <c r="I115">
        <v>5530.59</v>
      </c>
      <c r="J115">
        <f t="shared" si="1"/>
        <v>311604.99</v>
      </c>
      <c r="K115" s="14">
        <f t="shared" si="0"/>
        <v>0.61384618612302355</v>
      </c>
    </row>
    <row r="116" spans="1:11">
      <c r="A116" s="5">
        <v>90</v>
      </c>
      <c r="B116">
        <v>4</v>
      </c>
      <c r="C116">
        <v>6</v>
      </c>
      <c r="D116">
        <v>3</v>
      </c>
      <c r="E116">
        <v>13</v>
      </c>
      <c r="H116" s="5">
        <v>26</v>
      </c>
      <c r="I116">
        <v>5301.89</v>
      </c>
      <c r="J116">
        <f t="shared" si="1"/>
        <v>316906.88</v>
      </c>
      <c r="K116" s="14">
        <f t="shared" si="0"/>
        <v>0.62429064324081163</v>
      </c>
    </row>
    <row r="117" spans="1:11">
      <c r="A117" s="5">
        <v>91</v>
      </c>
      <c r="B117">
        <v>3</v>
      </c>
      <c r="C117">
        <v>3</v>
      </c>
      <c r="D117">
        <v>4</v>
      </c>
      <c r="E117">
        <v>10</v>
      </c>
      <c r="H117" s="5">
        <v>39</v>
      </c>
      <c r="I117">
        <v>5273.25</v>
      </c>
      <c r="J117">
        <f t="shared" si="1"/>
        <v>322180.13</v>
      </c>
      <c r="K117" s="14">
        <f t="shared" si="0"/>
        <v>0.6346786809964754</v>
      </c>
    </row>
    <row r="118" spans="1:11">
      <c r="A118" s="5">
        <v>92</v>
      </c>
      <c r="B118">
        <v>4</v>
      </c>
      <c r="C118">
        <v>5</v>
      </c>
      <c r="D118">
        <v>7</v>
      </c>
      <c r="E118">
        <v>16</v>
      </c>
      <c r="H118" s="5">
        <v>30</v>
      </c>
      <c r="I118">
        <v>5272.82</v>
      </c>
      <c r="J118">
        <f t="shared" si="1"/>
        <v>327452.95</v>
      </c>
      <c r="K118" s="14">
        <f t="shared" si="0"/>
        <v>0.64506587167372742</v>
      </c>
    </row>
    <row r="119" spans="1:11">
      <c r="A119" s="5">
        <v>93</v>
      </c>
      <c r="B119">
        <v>2</v>
      </c>
      <c r="C119">
        <v>5</v>
      </c>
      <c r="D119">
        <v>2</v>
      </c>
      <c r="E119">
        <v>9</v>
      </c>
      <c r="H119" s="5">
        <v>83</v>
      </c>
      <c r="I119">
        <v>5244.9499999999989</v>
      </c>
      <c r="J119">
        <f t="shared" si="1"/>
        <v>332697.90000000002</v>
      </c>
      <c r="K119" s="14">
        <f t="shared" si="0"/>
        <v>0.65539815985019712</v>
      </c>
    </row>
    <row r="120" spans="1:11">
      <c r="A120" s="5">
        <v>94</v>
      </c>
      <c r="B120">
        <v>1</v>
      </c>
      <c r="C120">
        <v>2</v>
      </c>
      <c r="D120">
        <v>3</v>
      </c>
      <c r="E120">
        <v>6</v>
      </c>
      <c r="H120" s="5">
        <v>36</v>
      </c>
      <c r="I120">
        <v>5201.8499999999985</v>
      </c>
      <c r="J120">
        <f t="shared" si="1"/>
        <v>337899.75</v>
      </c>
      <c r="K120" s="14">
        <f t="shared" si="0"/>
        <v>0.66564554319050895</v>
      </c>
    </row>
    <row r="121" spans="1:11">
      <c r="A121" s="5">
        <v>95</v>
      </c>
      <c r="B121">
        <v>4</v>
      </c>
      <c r="C121">
        <v>4</v>
      </c>
      <c r="D121">
        <v>4</v>
      </c>
      <c r="E121">
        <v>12</v>
      </c>
      <c r="H121" s="5">
        <v>88</v>
      </c>
      <c r="I121">
        <v>5181.3900000000003</v>
      </c>
      <c r="J121">
        <f t="shared" si="1"/>
        <v>343081.14</v>
      </c>
      <c r="K121" s="14">
        <f t="shared" si="0"/>
        <v>0.67585262135801838</v>
      </c>
    </row>
    <row r="122" spans="1:11">
      <c r="A122" s="5">
        <v>96</v>
      </c>
      <c r="B122">
        <v>5</v>
      </c>
      <c r="C122">
        <v>6</v>
      </c>
      <c r="D122">
        <v>2</v>
      </c>
      <c r="E122">
        <v>13</v>
      </c>
      <c r="H122" s="5">
        <v>13</v>
      </c>
      <c r="I122">
        <v>5100.6399999999994</v>
      </c>
      <c r="J122">
        <f t="shared" si="1"/>
        <v>348181.78</v>
      </c>
      <c r="K122" s="14">
        <f t="shared" si="0"/>
        <v>0.68590062607959412</v>
      </c>
    </row>
    <row r="123" spans="1:11">
      <c r="A123" s="5">
        <v>97</v>
      </c>
      <c r="B123">
        <v>6</v>
      </c>
      <c r="C123">
        <v>5</v>
      </c>
      <c r="D123">
        <v>8</v>
      </c>
      <c r="E123">
        <v>19</v>
      </c>
      <c r="H123" s="5">
        <v>37</v>
      </c>
      <c r="I123">
        <v>5037.51</v>
      </c>
      <c r="J123">
        <f t="shared" si="1"/>
        <v>353219.29000000004</v>
      </c>
      <c r="K123" s="14">
        <f t="shared" si="0"/>
        <v>0.69582426787062124</v>
      </c>
    </row>
    <row r="124" spans="1:11">
      <c r="A124" s="5">
        <v>98</v>
      </c>
      <c r="B124">
        <v>4</v>
      </c>
      <c r="C124">
        <v>1</v>
      </c>
      <c r="D124">
        <v>3</v>
      </c>
      <c r="E124">
        <v>8</v>
      </c>
      <c r="H124" s="5">
        <v>90</v>
      </c>
      <c r="I124">
        <v>4849.9400000000005</v>
      </c>
      <c r="J124">
        <f t="shared" si="1"/>
        <v>358069.23000000004</v>
      </c>
      <c r="K124" s="14">
        <f t="shared" si="0"/>
        <v>0.70537840617862935</v>
      </c>
    </row>
    <row r="125" spans="1:11">
      <c r="A125" s="5">
        <v>99</v>
      </c>
      <c r="B125">
        <v>2</v>
      </c>
      <c r="C125">
        <v>7</v>
      </c>
      <c r="D125">
        <v>1</v>
      </c>
      <c r="E125">
        <v>10</v>
      </c>
      <c r="H125" s="5">
        <v>98</v>
      </c>
      <c r="I125">
        <v>4604.3799999999992</v>
      </c>
      <c r="J125">
        <f t="shared" si="1"/>
        <v>362673.61000000004</v>
      </c>
      <c r="K125" s="14">
        <f t="shared" si="0"/>
        <v>0.7144488036150155</v>
      </c>
    </row>
    <row r="126" spans="1:11">
      <c r="A126" s="5">
        <v>100</v>
      </c>
      <c r="B126">
        <v>2</v>
      </c>
      <c r="C126">
        <v>2</v>
      </c>
      <c r="D126">
        <v>3</v>
      </c>
      <c r="E126">
        <v>7</v>
      </c>
      <c r="H126" s="5">
        <v>48</v>
      </c>
      <c r="I126">
        <v>4458.07</v>
      </c>
      <c r="J126">
        <f t="shared" si="1"/>
        <v>367131.68000000005</v>
      </c>
      <c r="K126" s="14">
        <f t="shared" si="0"/>
        <v>0.72323097769691802</v>
      </c>
    </row>
    <row r="127" spans="1:11">
      <c r="A127" s="5" t="s">
        <v>146</v>
      </c>
      <c r="B127">
        <v>333</v>
      </c>
      <c r="C127">
        <v>358</v>
      </c>
      <c r="D127">
        <v>309</v>
      </c>
      <c r="E127">
        <v>1000</v>
      </c>
      <c r="H127" s="5">
        <v>72</v>
      </c>
      <c r="I127">
        <v>4455.2699999999995</v>
      </c>
      <c r="J127">
        <f t="shared" si="1"/>
        <v>371586.95000000007</v>
      </c>
      <c r="K127" s="14">
        <f t="shared" si="0"/>
        <v>0.73200763591939488</v>
      </c>
    </row>
    <row r="128" spans="1:11">
      <c r="H128" s="5">
        <v>9</v>
      </c>
      <c r="I128">
        <v>4438.3999999999996</v>
      </c>
      <c r="J128">
        <f t="shared" si="1"/>
        <v>376025.35000000009</v>
      </c>
      <c r="K128" s="14">
        <f t="shared" si="0"/>
        <v>0.74075106108883282</v>
      </c>
    </row>
    <row r="129" spans="1:11">
      <c r="A129" t="s">
        <v>156</v>
      </c>
      <c r="H129" s="5">
        <v>73</v>
      </c>
      <c r="I129">
        <v>4406.7199999999993</v>
      </c>
      <c r="J129">
        <f t="shared" si="1"/>
        <v>380432.07000000007</v>
      </c>
      <c r="K129" s="14">
        <f t="shared" si="0"/>
        <v>0.7494320782487699</v>
      </c>
    </row>
    <row r="130" spans="1:11">
      <c r="A130" s="4" t="s">
        <v>186</v>
      </c>
      <c r="B130" t="s">
        <v>158</v>
      </c>
      <c r="H130" s="5">
        <v>54</v>
      </c>
      <c r="I130">
        <v>4393.43</v>
      </c>
      <c r="J130">
        <f t="shared" si="1"/>
        <v>384825.50000000006</v>
      </c>
      <c r="K130" s="14">
        <f t="shared" si="0"/>
        <v>0.7580869147759336</v>
      </c>
    </row>
    <row r="131" spans="1:11">
      <c r="A131" s="5">
        <v>81</v>
      </c>
      <c r="B131">
        <v>11740.64</v>
      </c>
      <c r="H131" s="5">
        <v>100</v>
      </c>
      <c r="I131">
        <v>4372.1499999999996</v>
      </c>
      <c r="J131">
        <f t="shared" si="1"/>
        <v>389197.65000000008</v>
      </c>
      <c r="K131" s="14">
        <f t="shared" si="0"/>
        <v>0.76669983077146298</v>
      </c>
    </row>
    <row r="132" spans="1:11">
      <c r="A132" s="5">
        <v>10</v>
      </c>
      <c r="B132">
        <v>10084.92</v>
      </c>
      <c r="H132" s="5">
        <v>44</v>
      </c>
      <c r="I132">
        <v>4258.41</v>
      </c>
      <c r="J132">
        <f t="shared" si="1"/>
        <v>393456.06000000006</v>
      </c>
      <c r="K132" s="14">
        <f t="shared" si="0"/>
        <v>0.77508868467732672</v>
      </c>
    </row>
    <row r="133" spans="1:11">
      <c r="A133" s="5">
        <v>56</v>
      </c>
      <c r="B133">
        <v>9916.3000000000029</v>
      </c>
      <c r="H133" s="5">
        <v>68</v>
      </c>
      <c r="I133">
        <v>4244.3300000000008</v>
      </c>
      <c r="J133">
        <f t="shared" si="1"/>
        <v>397700.39000000007</v>
      </c>
      <c r="K133" s="14">
        <f t="shared" si="0"/>
        <v>0.78344980169007916</v>
      </c>
    </row>
    <row r="134" spans="1:11">
      <c r="A134" s="5">
        <v>45</v>
      </c>
      <c r="B134">
        <v>9532.3599999999988</v>
      </c>
      <c r="H134" s="5">
        <v>23</v>
      </c>
      <c r="I134">
        <v>4083.2200000000003</v>
      </c>
      <c r="J134">
        <f t="shared" si="1"/>
        <v>401783.61000000004</v>
      </c>
      <c r="K134" s="14">
        <f t="shared" si="0"/>
        <v>0.79149354009138406</v>
      </c>
    </row>
    <row r="135" spans="1:11">
      <c r="A135" s="5">
        <v>63</v>
      </c>
      <c r="B135">
        <v>9174.06</v>
      </c>
      <c r="H135" s="5">
        <v>15</v>
      </c>
      <c r="I135">
        <v>4042.51</v>
      </c>
      <c r="J135">
        <f t="shared" si="1"/>
        <v>405826.12000000005</v>
      </c>
      <c r="K135" s="14">
        <f t="shared" si="0"/>
        <v>0.79945708183654096</v>
      </c>
    </row>
    <row r="136" spans="1:11">
      <c r="A136" s="5">
        <v>6</v>
      </c>
      <c r="B136">
        <v>8733.81</v>
      </c>
      <c r="H136" s="5">
        <v>70</v>
      </c>
      <c r="I136">
        <v>3970</v>
      </c>
      <c r="J136">
        <f t="shared" si="1"/>
        <v>409796.12000000005</v>
      </c>
      <c r="K136" s="14">
        <f t="shared" si="0"/>
        <v>0.80727778252207361</v>
      </c>
    </row>
    <row r="137" spans="1:11">
      <c r="A137" s="5">
        <v>74</v>
      </c>
      <c r="B137">
        <v>8460.5400000000009</v>
      </c>
      <c r="H137" s="5">
        <v>11</v>
      </c>
      <c r="I137">
        <v>3925.33</v>
      </c>
      <c r="J137">
        <f t="shared" si="1"/>
        <v>413721.45000000007</v>
      </c>
      <c r="K137" s="14">
        <f t="shared" ref="K137:K170" si="2">J137/$I$171</f>
        <v>0.81501048555027056</v>
      </c>
    </row>
    <row r="138" spans="1:11">
      <c r="A138" s="5">
        <v>49</v>
      </c>
      <c r="B138">
        <v>8419.2199999999993</v>
      </c>
      <c r="H138" s="5">
        <v>38</v>
      </c>
      <c r="I138">
        <v>3857.37</v>
      </c>
      <c r="J138">
        <f t="shared" ref="J138:J167" si="3">J137+I138</f>
        <v>417578.82000000007</v>
      </c>
      <c r="K138" s="14">
        <f t="shared" si="2"/>
        <v>0.82260931079040989</v>
      </c>
    </row>
    <row r="139" spans="1:11">
      <c r="A139" s="5">
        <v>97</v>
      </c>
      <c r="B139">
        <v>8405.84</v>
      </c>
      <c r="H139" s="5">
        <v>20</v>
      </c>
      <c r="I139">
        <v>3768.31</v>
      </c>
      <c r="J139">
        <f t="shared" si="3"/>
        <v>421347.13000000006</v>
      </c>
      <c r="K139" s="14">
        <f t="shared" si="2"/>
        <v>0.83003269230182042</v>
      </c>
    </row>
    <row r="140" spans="1:11">
      <c r="A140" s="5">
        <v>77</v>
      </c>
      <c r="B140">
        <v>7657.3700000000008</v>
      </c>
      <c r="H140" s="5">
        <v>22</v>
      </c>
      <c r="I140">
        <v>3751.6600000000003</v>
      </c>
      <c r="J140">
        <f t="shared" si="3"/>
        <v>425098.79000000004</v>
      </c>
      <c r="K140" s="14">
        <f t="shared" si="2"/>
        <v>0.83742327414914675</v>
      </c>
    </row>
    <row r="141" spans="1:11">
      <c r="A141" s="5">
        <v>92</v>
      </c>
      <c r="B141">
        <v>7588.8399999999992</v>
      </c>
      <c r="H141" s="5">
        <v>16</v>
      </c>
      <c r="I141">
        <v>3559.3900000000003</v>
      </c>
      <c r="J141">
        <f t="shared" si="3"/>
        <v>428658.18000000005</v>
      </c>
      <c r="K141" s="14">
        <f t="shared" si="2"/>
        <v>0.84443509374941828</v>
      </c>
    </row>
    <row r="142" spans="1:11">
      <c r="A142" s="5">
        <v>43</v>
      </c>
      <c r="B142">
        <v>7540.6299999999992</v>
      </c>
      <c r="H142" s="5">
        <v>94</v>
      </c>
      <c r="I142">
        <v>3489.8</v>
      </c>
      <c r="J142">
        <f t="shared" si="3"/>
        <v>432147.98000000004</v>
      </c>
      <c r="K142" s="14">
        <f t="shared" si="2"/>
        <v>0.8513098245434666</v>
      </c>
    </row>
    <row r="143" spans="1:11">
      <c r="A143" s="5">
        <v>79</v>
      </c>
      <c r="B143">
        <v>7426.3</v>
      </c>
      <c r="H143" s="5">
        <v>25</v>
      </c>
      <c r="I143">
        <v>3479.1899999999996</v>
      </c>
      <c r="J143">
        <f t="shared" si="3"/>
        <v>435627.17000000004</v>
      </c>
      <c r="K143" s="14">
        <f t="shared" si="2"/>
        <v>0.85816365417019169</v>
      </c>
    </row>
    <row r="144" spans="1:11">
      <c r="A144" s="5">
        <v>17</v>
      </c>
      <c r="B144">
        <v>7294.7</v>
      </c>
      <c r="H144" s="5">
        <v>93</v>
      </c>
      <c r="I144">
        <v>3459.6600000000003</v>
      </c>
      <c r="J144">
        <f t="shared" si="3"/>
        <v>439086.83</v>
      </c>
      <c r="K144" s="14">
        <f t="shared" si="2"/>
        <v>0.86497901067742333</v>
      </c>
    </row>
    <row r="145" spans="1:11">
      <c r="A145" s="5">
        <v>86</v>
      </c>
      <c r="B145">
        <v>7140.7300000000014</v>
      </c>
      <c r="H145" s="5">
        <v>84</v>
      </c>
      <c r="I145">
        <v>3443.31</v>
      </c>
      <c r="J145">
        <f t="shared" si="3"/>
        <v>442530.14</v>
      </c>
      <c r="K145" s="14">
        <f t="shared" si="2"/>
        <v>0.87176215850550942</v>
      </c>
    </row>
    <row r="146" spans="1:11">
      <c r="A146" s="5">
        <v>67</v>
      </c>
      <c r="B146">
        <v>6765.74</v>
      </c>
      <c r="H146" s="5">
        <v>82</v>
      </c>
      <c r="I146">
        <v>3376.04</v>
      </c>
      <c r="J146">
        <f t="shared" si="3"/>
        <v>445906.18</v>
      </c>
      <c r="K146" s="14">
        <f t="shared" si="2"/>
        <v>0.87841278781089616</v>
      </c>
    </row>
    <row r="147" spans="1:11">
      <c r="A147" s="5">
        <v>51</v>
      </c>
      <c r="B147">
        <v>6671.68</v>
      </c>
      <c r="H147" s="5">
        <v>24</v>
      </c>
      <c r="I147">
        <v>3357.99</v>
      </c>
      <c r="J147">
        <f t="shared" si="3"/>
        <v>449264.17</v>
      </c>
      <c r="K147" s="14">
        <f t="shared" si="2"/>
        <v>0.88502785952248608</v>
      </c>
    </row>
    <row r="148" spans="1:11">
      <c r="A148" s="5">
        <v>27</v>
      </c>
      <c r="B148">
        <v>6663.1</v>
      </c>
      <c r="H148" s="5">
        <v>80</v>
      </c>
      <c r="I148">
        <v>3348.6800000000003</v>
      </c>
      <c r="J148">
        <f t="shared" si="3"/>
        <v>452612.85</v>
      </c>
      <c r="K148" s="14">
        <f t="shared" si="2"/>
        <v>0.89162459100148594</v>
      </c>
    </row>
    <row r="149" spans="1:11">
      <c r="A149" s="5">
        <v>1</v>
      </c>
      <c r="B149">
        <v>6652.5899999999983</v>
      </c>
      <c r="H149" s="5">
        <v>62</v>
      </c>
      <c r="I149">
        <v>3271.4100000000003</v>
      </c>
      <c r="J149">
        <f t="shared" si="3"/>
        <v>455884.25999999995</v>
      </c>
      <c r="K149" s="14">
        <f t="shared" si="2"/>
        <v>0.89806910445983812</v>
      </c>
    </row>
    <row r="150" spans="1:11">
      <c r="A150" s="5">
        <v>12</v>
      </c>
      <c r="B150">
        <v>6583.6500000000005</v>
      </c>
      <c r="H150" s="5">
        <v>53</v>
      </c>
      <c r="I150">
        <v>3271.12</v>
      </c>
      <c r="J150">
        <f t="shared" si="3"/>
        <v>459155.37999999995</v>
      </c>
      <c r="K150" s="14">
        <f t="shared" si="2"/>
        <v>0.9045130466327499</v>
      </c>
    </row>
    <row r="151" spans="1:11">
      <c r="A151" s="5">
        <v>46</v>
      </c>
      <c r="B151">
        <v>6520.4900000000007</v>
      </c>
      <c r="H151" s="5">
        <v>2</v>
      </c>
      <c r="I151">
        <v>3189.3999999999996</v>
      </c>
      <c r="J151">
        <f t="shared" si="3"/>
        <v>462344.77999999997</v>
      </c>
      <c r="K151" s="14">
        <f t="shared" si="2"/>
        <v>0.91079600450842702</v>
      </c>
    </row>
    <row r="152" spans="1:11">
      <c r="A152" s="5">
        <v>7</v>
      </c>
      <c r="B152">
        <v>6496.2200000000012</v>
      </c>
      <c r="H152" s="5">
        <v>3</v>
      </c>
      <c r="I152">
        <v>3106.65</v>
      </c>
      <c r="J152">
        <f t="shared" si="3"/>
        <v>465451.43</v>
      </c>
      <c r="K152" s="14">
        <f t="shared" si="2"/>
        <v>0.91691594903858076</v>
      </c>
    </row>
    <row r="153" spans="1:11">
      <c r="A153" s="5">
        <v>4</v>
      </c>
      <c r="B153">
        <v>6495.4500000000007</v>
      </c>
      <c r="H153" s="5">
        <v>57</v>
      </c>
      <c r="I153">
        <v>3090.9399999999996</v>
      </c>
      <c r="J153">
        <f t="shared" si="3"/>
        <v>468542.37</v>
      </c>
      <c r="K153" s="14">
        <f t="shared" si="2"/>
        <v>0.92300494565745739</v>
      </c>
    </row>
    <row r="154" spans="1:11">
      <c r="A154" s="5">
        <v>60</v>
      </c>
      <c r="B154">
        <v>6311.34</v>
      </c>
      <c r="H154" s="5">
        <v>71</v>
      </c>
      <c r="I154">
        <v>2952.7799999999997</v>
      </c>
      <c r="J154">
        <f t="shared" si="3"/>
        <v>471495.15</v>
      </c>
      <c r="K154" s="14">
        <f t="shared" si="2"/>
        <v>0.9288217740126784</v>
      </c>
    </row>
    <row r="155" spans="1:11">
      <c r="A155" s="5">
        <v>8</v>
      </c>
      <c r="B155">
        <v>6308.05</v>
      </c>
      <c r="H155" s="5">
        <v>78</v>
      </c>
      <c r="I155">
        <v>2760.3</v>
      </c>
      <c r="J155">
        <f t="shared" si="3"/>
        <v>474255.45</v>
      </c>
      <c r="K155" s="14">
        <f t="shared" si="2"/>
        <v>0.93425942643138771</v>
      </c>
    </row>
    <row r="156" spans="1:11">
      <c r="A156" s="5">
        <v>31</v>
      </c>
      <c r="B156">
        <v>6299.77</v>
      </c>
      <c r="H156" s="5">
        <v>29</v>
      </c>
      <c r="I156">
        <v>2751.56</v>
      </c>
      <c r="J156">
        <f t="shared" si="3"/>
        <v>477007.01</v>
      </c>
      <c r="K156" s="14">
        <f t="shared" si="2"/>
        <v>0.93967986148889004</v>
      </c>
    </row>
    <row r="157" spans="1:11">
      <c r="A157" s="5">
        <v>47</v>
      </c>
      <c r="B157">
        <v>6275.88</v>
      </c>
      <c r="H157" s="5">
        <v>32</v>
      </c>
      <c r="I157">
        <v>2694.1099999999997</v>
      </c>
      <c r="J157">
        <f t="shared" si="3"/>
        <v>479701.12</v>
      </c>
      <c r="K157" s="14">
        <f t="shared" si="2"/>
        <v>0.94498712293067855</v>
      </c>
    </row>
    <row r="158" spans="1:11">
      <c r="A158" s="5">
        <v>87</v>
      </c>
      <c r="B158">
        <v>6245.17</v>
      </c>
      <c r="H158" s="5">
        <v>91</v>
      </c>
      <c r="I158">
        <v>2675.7</v>
      </c>
      <c r="J158">
        <f t="shared" si="3"/>
        <v>482376.82</v>
      </c>
      <c r="K158" s="14">
        <f t="shared" si="2"/>
        <v>0.95025811759674395</v>
      </c>
    </row>
    <row r="159" spans="1:11">
      <c r="A159" s="5">
        <v>95</v>
      </c>
      <c r="B159">
        <v>6125.7800000000007</v>
      </c>
      <c r="H159" s="5">
        <v>40</v>
      </c>
      <c r="I159">
        <v>2622.7700000000004</v>
      </c>
      <c r="J159">
        <f t="shared" si="3"/>
        <v>484999.59</v>
      </c>
      <c r="K159" s="14">
        <f t="shared" si="2"/>
        <v>0.95542484282016826</v>
      </c>
    </row>
    <row r="160" spans="1:11">
      <c r="A160" s="5">
        <v>58</v>
      </c>
      <c r="B160">
        <v>6038.7699999999995</v>
      </c>
      <c r="H160" s="5">
        <v>42</v>
      </c>
      <c r="I160">
        <v>2556.5099999999998</v>
      </c>
      <c r="J160">
        <f t="shared" si="3"/>
        <v>487556.10000000003</v>
      </c>
      <c r="K160" s="14">
        <f t="shared" si="2"/>
        <v>0.96046103917018621</v>
      </c>
    </row>
    <row r="161" spans="1:11">
      <c r="A161" s="5">
        <v>61</v>
      </c>
      <c r="B161">
        <v>5967.51</v>
      </c>
      <c r="H161" s="5">
        <v>59</v>
      </c>
      <c r="I161">
        <v>2504.5100000000002</v>
      </c>
      <c r="J161">
        <f t="shared" si="3"/>
        <v>490060.61000000004</v>
      </c>
      <c r="K161" s="14">
        <f t="shared" si="2"/>
        <v>0.96539479813087226</v>
      </c>
    </row>
    <row r="162" spans="1:11">
      <c r="A162" s="5">
        <v>96</v>
      </c>
      <c r="B162">
        <v>5929.2300000000005</v>
      </c>
      <c r="H162" s="5">
        <v>89</v>
      </c>
      <c r="I162">
        <v>2471.1600000000003</v>
      </c>
      <c r="J162">
        <f t="shared" si="3"/>
        <v>492531.77</v>
      </c>
      <c r="K162" s="14">
        <f t="shared" si="2"/>
        <v>0.97026285926590017</v>
      </c>
    </row>
    <row r="163" spans="1:11">
      <c r="A163" s="5">
        <v>69</v>
      </c>
      <c r="B163">
        <v>5917.02</v>
      </c>
      <c r="H163" s="5">
        <v>50</v>
      </c>
      <c r="I163">
        <v>2381.59</v>
      </c>
      <c r="J163">
        <f t="shared" si="3"/>
        <v>494913.36000000004</v>
      </c>
      <c r="K163" s="14">
        <f t="shared" si="2"/>
        <v>0.97495447199780394</v>
      </c>
    </row>
    <row r="164" spans="1:11">
      <c r="A164" s="5">
        <v>5</v>
      </c>
      <c r="B164">
        <v>5912.5100000000011</v>
      </c>
      <c r="H164" s="5">
        <v>21</v>
      </c>
      <c r="I164">
        <v>2350.21</v>
      </c>
      <c r="J164">
        <f t="shared" si="3"/>
        <v>497263.57000000007</v>
      </c>
      <c r="K164" s="14">
        <f t="shared" si="2"/>
        <v>0.97958426770514551</v>
      </c>
    </row>
    <row r="165" spans="1:11">
      <c r="A165" s="5">
        <v>66</v>
      </c>
      <c r="B165">
        <v>5873.5999999999995</v>
      </c>
      <c r="H165" s="5">
        <v>34</v>
      </c>
      <c r="I165">
        <v>2154.1699999999996</v>
      </c>
      <c r="J165">
        <f t="shared" si="3"/>
        <v>499417.74000000005</v>
      </c>
      <c r="K165" s="14">
        <f t="shared" si="2"/>
        <v>0.98382787445470565</v>
      </c>
    </row>
    <row r="166" spans="1:11">
      <c r="A166" s="5">
        <v>35</v>
      </c>
      <c r="B166">
        <v>5862.079999999999</v>
      </c>
      <c r="H166" s="5">
        <v>19</v>
      </c>
      <c r="I166">
        <v>1982.36</v>
      </c>
      <c r="J166">
        <f t="shared" si="3"/>
        <v>501400.10000000003</v>
      </c>
      <c r="K166" s="14">
        <f t="shared" si="2"/>
        <v>0.98773302413001351</v>
      </c>
    </row>
    <row r="167" spans="1:11">
      <c r="A167" s="5">
        <v>41</v>
      </c>
      <c r="B167">
        <v>5833.53</v>
      </c>
      <c r="H167" s="5">
        <v>18</v>
      </c>
      <c r="I167">
        <v>1946.31</v>
      </c>
      <c r="J167">
        <f t="shared" si="3"/>
        <v>503346.41000000003</v>
      </c>
      <c r="K167" s="14">
        <f t="shared" si="2"/>
        <v>0.99156715711521737</v>
      </c>
    </row>
    <row r="168" spans="1:11">
      <c r="A168" s="5">
        <v>14</v>
      </c>
      <c r="B168">
        <v>5693.66</v>
      </c>
      <c r="H168" s="5">
        <v>52</v>
      </c>
      <c r="I168">
        <v>1647.65</v>
      </c>
      <c r="J168">
        <f>J167+I168</f>
        <v>504994.06000000006</v>
      </c>
      <c r="K168" s="14">
        <f t="shared" si="2"/>
        <v>0.99481294489469296</v>
      </c>
    </row>
    <row r="169" spans="1:11">
      <c r="A169" s="5">
        <v>76</v>
      </c>
      <c r="B169">
        <v>5620.61</v>
      </c>
      <c r="H169" s="5">
        <v>85</v>
      </c>
      <c r="I169">
        <v>1337.25</v>
      </c>
      <c r="J169">
        <f t="shared" ref="J169:J170" si="4">J168+I169</f>
        <v>506331.31000000006</v>
      </c>
      <c r="K169" s="14">
        <f t="shared" si="2"/>
        <v>0.9974472602578488</v>
      </c>
    </row>
    <row r="170" spans="1:11">
      <c r="A170" s="5">
        <v>99</v>
      </c>
      <c r="B170">
        <v>5598.1299999999992</v>
      </c>
      <c r="H170" s="5">
        <v>55</v>
      </c>
      <c r="I170">
        <v>1295.8400000000001</v>
      </c>
      <c r="J170">
        <f t="shared" si="4"/>
        <v>507627.15000000008</v>
      </c>
      <c r="K170" s="14">
        <f t="shared" si="2"/>
        <v>1.0000000000000002</v>
      </c>
    </row>
    <row r="171" spans="1:11">
      <c r="A171" s="5">
        <v>64</v>
      </c>
      <c r="B171">
        <v>5596.64</v>
      </c>
      <c r="H171" s="5" t="s">
        <v>146</v>
      </c>
      <c r="I171">
        <v>507627.15</v>
      </c>
    </row>
    <row r="172" spans="1:11">
      <c r="A172" s="5">
        <v>75</v>
      </c>
      <c r="B172">
        <v>5583.3099999999995</v>
      </c>
    </row>
    <row r="173" spans="1:11">
      <c r="A173" s="5">
        <v>33</v>
      </c>
      <c r="B173">
        <v>5575.81</v>
      </c>
    </row>
    <row r="174" spans="1:11">
      <c r="A174" s="5">
        <v>28</v>
      </c>
      <c r="B174">
        <v>5540.8199999999988</v>
      </c>
    </row>
    <row r="175" spans="1:11">
      <c r="A175" s="5">
        <v>65</v>
      </c>
      <c r="B175">
        <v>5530.59</v>
      </c>
    </row>
    <row r="176" spans="1:11">
      <c r="A176" s="5">
        <v>26</v>
      </c>
      <c r="B176">
        <v>5301.89</v>
      </c>
    </row>
    <row r="177" spans="1:2">
      <c r="A177" s="5">
        <v>39</v>
      </c>
      <c r="B177">
        <v>5273.25</v>
      </c>
    </row>
    <row r="178" spans="1:2">
      <c r="A178" s="5">
        <v>30</v>
      </c>
      <c r="B178">
        <v>5272.82</v>
      </c>
    </row>
    <row r="179" spans="1:2">
      <c r="A179" s="5">
        <v>83</v>
      </c>
      <c r="B179">
        <v>5244.9499999999989</v>
      </c>
    </row>
    <row r="180" spans="1:2">
      <c r="A180" s="5">
        <v>36</v>
      </c>
      <c r="B180">
        <v>5201.8499999999985</v>
      </c>
    </row>
    <row r="181" spans="1:2">
      <c r="A181" s="5">
        <v>88</v>
      </c>
      <c r="B181">
        <v>5181.3900000000003</v>
      </c>
    </row>
    <row r="182" spans="1:2">
      <c r="A182" s="5">
        <v>13</v>
      </c>
      <c r="B182">
        <v>5100.6399999999994</v>
      </c>
    </row>
    <row r="183" spans="1:2">
      <c r="A183" s="5">
        <v>37</v>
      </c>
      <c r="B183">
        <v>5037.51</v>
      </c>
    </row>
    <row r="184" spans="1:2">
      <c r="A184" s="5">
        <v>90</v>
      </c>
      <c r="B184">
        <v>4849.9400000000005</v>
      </c>
    </row>
    <row r="185" spans="1:2">
      <c r="A185" s="5">
        <v>98</v>
      </c>
      <c r="B185">
        <v>4604.3799999999992</v>
      </c>
    </row>
    <row r="186" spans="1:2">
      <c r="A186" s="5">
        <v>48</v>
      </c>
      <c r="B186">
        <v>4458.07</v>
      </c>
    </row>
    <row r="187" spans="1:2">
      <c r="A187" s="5">
        <v>72</v>
      </c>
      <c r="B187">
        <v>4455.2699999999995</v>
      </c>
    </row>
    <row r="188" spans="1:2">
      <c r="A188" s="5">
        <v>9</v>
      </c>
      <c r="B188">
        <v>4438.3999999999996</v>
      </c>
    </row>
    <row r="189" spans="1:2">
      <c r="A189" s="5">
        <v>73</v>
      </c>
      <c r="B189">
        <v>4406.7199999999993</v>
      </c>
    </row>
    <row r="190" spans="1:2">
      <c r="A190" s="5">
        <v>54</v>
      </c>
      <c r="B190">
        <v>4393.43</v>
      </c>
    </row>
    <row r="191" spans="1:2">
      <c r="A191" s="5">
        <v>100</v>
      </c>
      <c r="B191">
        <v>4372.1499999999996</v>
      </c>
    </row>
    <row r="192" spans="1:2">
      <c r="A192" s="5">
        <v>44</v>
      </c>
      <c r="B192">
        <v>4258.41</v>
      </c>
    </row>
    <row r="193" spans="1:2">
      <c r="A193" s="5">
        <v>68</v>
      </c>
      <c r="B193">
        <v>4244.3300000000008</v>
      </c>
    </row>
    <row r="194" spans="1:2">
      <c r="A194" s="5">
        <v>23</v>
      </c>
      <c r="B194">
        <v>4083.2200000000003</v>
      </c>
    </row>
    <row r="195" spans="1:2">
      <c r="A195" s="5">
        <v>15</v>
      </c>
      <c r="B195">
        <v>4042.51</v>
      </c>
    </row>
    <row r="196" spans="1:2">
      <c r="A196" s="5">
        <v>70</v>
      </c>
      <c r="B196">
        <v>3970</v>
      </c>
    </row>
    <row r="197" spans="1:2">
      <c r="A197" s="5">
        <v>11</v>
      </c>
      <c r="B197">
        <v>3925.33</v>
      </c>
    </row>
    <row r="198" spans="1:2">
      <c r="A198" s="5">
        <v>38</v>
      </c>
      <c r="B198">
        <v>3857.37</v>
      </c>
    </row>
    <row r="199" spans="1:2">
      <c r="A199" s="5">
        <v>20</v>
      </c>
      <c r="B199">
        <v>3768.31</v>
      </c>
    </row>
    <row r="200" spans="1:2">
      <c r="A200" s="5">
        <v>22</v>
      </c>
      <c r="B200">
        <v>3751.6600000000003</v>
      </c>
    </row>
    <row r="201" spans="1:2">
      <c r="A201" s="5">
        <v>16</v>
      </c>
      <c r="B201">
        <v>3559.3900000000003</v>
      </c>
    </row>
    <row r="202" spans="1:2">
      <c r="A202" s="5">
        <v>94</v>
      </c>
      <c r="B202">
        <v>3489.8</v>
      </c>
    </row>
    <row r="203" spans="1:2">
      <c r="A203" s="5">
        <v>25</v>
      </c>
      <c r="B203">
        <v>3479.1899999999996</v>
      </c>
    </row>
    <row r="204" spans="1:2">
      <c r="A204" s="5">
        <v>93</v>
      </c>
      <c r="B204">
        <v>3459.6600000000003</v>
      </c>
    </row>
    <row r="205" spans="1:2">
      <c r="A205" s="5">
        <v>84</v>
      </c>
      <c r="B205">
        <v>3443.31</v>
      </c>
    </row>
    <row r="206" spans="1:2">
      <c r="A206" s="5">
        <v>82</v>
      </c>
      <c r="B206">
        <v>3376.04</v>
      </c>
    </row>
    <row r="207" spans="1:2">
      <c r="A207" s="5">
        <v>24</v>
      </c>
      <c r="B207">
        <v>3357.99</v>
      </c>
    </row>
    <row r="208" spans="1:2">
      <c r="A208" s="5">
        <v>80</v>
      </c>
      <c r="B208">
        <v>3348.6800000000003</v>
      </c>
    </row>
    <row r="209" spans="1:2">
      <c r="A209" s="5">
        <v>62</v>
      </c>
      <c r="B209">
        <v>3271.4100000000003</v>
      </c>
    </row>
    <row r="210" spans="1:2">
      <c r="A210" s="5">
        <v>53</v>
      </c>
      <c r="B210">
        <v>3271.12</v>
      </c>
    </row>
    <row r="211" spans="1:2">
      <c r="A211" s="5">
        <v>2</v>
      </c>
      <c r="B211">
        <v>3189.3999999999996</v>
      </c>
    </row>
    <row r="212" spans="1:2">
      <c r="A212" s="5">
        <v>3</v>
      </c>
      <c r="B212">
        <v>3106.65</v>
      </c>
    </row>
    <row r="213" spans="1:2">
      <c r="A213" s="5">
        <v>57</v>
      </c>
      <c r="B213">
        <v>3090.9399999999996</v>
      </c>
    </row>
    <row r="214" spans="1:2">
      <c r="A214" s="5">
        <v>71</v>
      </c>
      <c r="B214">
        <v>2952.7799999999997</v>
      </c>
    </row>
    <row r="215" spans="1:2">
      <c r="A215" s="5">
        <v>78</v>
      </c>
      <c r="B215">
        <v>2760.3</v>
      </c>
    </row>
    <row r="216" spans="1:2">
      <c r="A216" s="5">
        <v>29</v>
      </c>
      <c r="B216">
        <v>2751.56</v>
      </c>
    </row>
    <row r="217" spans="1:2">
      <c r="A217" s="5">
        <v>32</v>
      </c>
      <c r="B217">
        <v>2694.1099999999997</v>
      </c>
    </row>
    <row r="218" spans="1:2">
      <c r="A218" s="5">
        <v>91</v>
      </c>
      <c r="B218">
        <v>2675.7</v>
      </c>
    </row>
    <row r="219" spans="1:2">
      <c r="A219" s="5">
        <v>40</v>
      </c>
      <c r="B219">
        <v>2622.7700000000004</v>
      </c>
    </row>
    <row r="220" spans="1:2">
      <c r="A220" s="5">
        <v>42</v>
      </c>
      <c r="B220">
        <v>2556.5099999999998</v>
      </c>
    </row>
    <row r="221" spans="1:2">
      <c r="A221" s="5">
        <v>59</v>
      </c>
      <c r="B221">
        <v>2504.5100000000002</v>
      </c>
    </row>
    <row r="222" spans="1:2">
      <c r="A222" s="5">
        <v>89</v>
      </c>
      <c r="B222">
        <v>2471.1600000000003</v>
      </c>
    </row>
    <row r="223" spans="1:2">
      <c r="A223" s="5">
        <v>50</v>
      </c>
      <c r="B223">
        <v>2381.59</v>
      </c>
    </row>
    <row r="224" spans="1:2">
      <c r="A224" s="5">
        <v>21</v>
      </c>
      <c r="B224">
        <v>2350.21</v>
      </c>
    </row>
    <row r="225" spans="1:2">
      <c r="A225" s="5">
        <v>34</v>
      </c>
      <c r="B225">
        <v>2154.1699999999996</v>
      </c>
    </row>
    <row r="226" spans="1:2">
      <c r="A226" s="5">
        <v>19</v>
      </c>
      <c r="B226">
        <v>1982.36</v>
      </c>
    </row>
    <row r="227" spans="1:2">
      <c r="A227" s="5">
        <v>18</v>
      </c>
      <c r="B227">
        <v>1946.31</v>
      </c>
    </row>
    <row r="228" spans="1:2">
      <c r="A228" s="5">
        <v>52</v>
      </c>
      <c r="B228">
        <v>1647.65</v>
      </c>
    </row>
    <row r="229" spans="1:2">
      <c r="A229" s="5">
        <v>85</v>
      </c>
      <c r="B229">
        <v>1337.25</v>
      </c>
    </row>
    <row r="230" spans="1:2">
      <c r="A230" s="5">
        <v>55</v>
      </c>
      <c r="B230">
        <v>1295.8400000000001</v>
      </c>
    </row>
    <row r="231" spans="1:2">
      <c r="A231" s="5" t="s">
        <v>157</v>
      </c>
    </row>
    <row r="232" spans="1:2">
      <c r="A232" s="5" t="s">
        <v>146</v>
      </c>
      <c r="B232">
        <v>507627.15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0ECE-EF34-4974-8186-0D7C81026238}">
  <dimension ref="A2:D105"/>
  <sheetViews>
    <sheetView workbookViewId="0">
      <selection activeCell="I102" sqref="I102"/>
    </sheetView>
  </sheetViews>
  <sheetFormatPr defaultRowHeight="15"/>
  <cols>
    <col min="1" max="1" width="17.5703125" bestFit="1" customWidth="1"/>
    <col min="2" max="2" width="18" bestFit="1" customWidth="1"/>
  </cols>
  <sheetData>
    <row r="2" spans="1:4" ht="28.5">
      <c r="A2" s="13" t="s">
        <v>179</v>
      </c>
    </row>
    <row r="4" spans="1:4">
      <c r="A4" s="4" t="s">
        <v>182</v>
      </c>
      <c r="B4" t="s">
        <v>158</v>
      </c>
      <c r="C4" t="s">
        <v>180</v>
      </c>
      <c r="D4" t="s">
        <v>181</v>
      </c>
    </row>
    <row r="5" spans="1:4">
      <c r="A5" s="5">
        <v>81</v>
      </c>
      <c r="B5">
        <v>11740.64</v>
      </c>
      <c r="C5">
        <v>11740.64</v>
      </c>
      <c r="D5" s="16">
        <f>C5/$B$105</f>
        <v>2.3128471359343171E-2</v>
      </c>
    </row>
    <row r="6" spans="1:4">
      <c r="A6" s="5">
        <v>10</v>
      </c>
      <c r="B6">
        <v>10084.92</v>
      </c>
      <c r="C6">
        <f>C5+B6</f>
        <v>21825.559999999998</v>
      </c>
      <c r="D6" s="16">
        <f t="shared" ref="D6:D69" si="0">C6/$B$105</f>
        <v>4.2995257444366393E-2</v>
      </c>
    </row>
    <row r="7" spans="1:4">
      <c r="A7" s="5">
        <v>56</v>
      </c>
      <c r="B7">
        <v>9916.3000000000029</v>
      </c>
      <c r="C7">
        <f>C6+B7</f>
        <v>31741.86</v>
      </c>
      <c r="D7" s="16">
        <f t="shared" si="0"/>
        <v>6.2529870594982953E-2</v>
      </c>
    </row>
    <row r="8" spans="1:4">
      <c r="A8" s="5">
        <v>45</v>
      </c>
      <c r="B8">
        <v>9532.3599999999988</v>
      </c>
      <c r="C8">
        <f t="shared" ref="C8:C71" si="1">C7+B8</f>
        <v>41274.22</v>
      </c>
      <c r="D8" s="16">
        <f t="shared" si="0"/>
        <v>8.1308141221366897E-2</v>
      </c>
    </row>
    <row r="9" spans="1:4">
      <c r="A9" s="5">
        <v>63</v>
      </c>
      <c r="B9">
        <v>9174.06</v>
      </c>
      <c r="C9">
        <f t="shared" si="1"/>
        <v>50448.28</v>
      </c>
      <c r="D9" s="16">
        <f t="shared" si="0"/>
        <v>9.938057883625806E-2</v>
      </c>
    </row>
    <row r="10" spans="1:4">
      <c r="A10" s="5">
        <v>6</v>
      </c>
      <c r="B10">
        <v>8733.81</v>
      </c>
      <c r="C10">
        <f t="shared" si="1"/>
        <v>59182.09</v>
      </c>
      <c r="D10" s="16">
        <f t="shared" si="0"/>
        <v>0.11658574605396893</v>
      </c>
    </row>
    <row r="11" spans="1:4">
      <c r="A11" s="5">
        <v>74</v>
      </c>
      <c r="B11">
        <v>8460.5400000000009</v>
      </c>
      <c r="C11">
        <f t="shared" si="1"/>
        <v>67642.63</v>
      </c>
      <c r="D11" s="16">
        <f t="shared" si="0"/>
        <v>0.13325258509124266</v>
      </c>
    </row>
    <row r="12" spans="1:4">
      <c r="A12" s="5">
        <v>49</v>
      </c>
      <c r="B12">
        <v>8419.2199999999993</v>
      </c>
      <c r="C12">
        <f t="shared" si="1"/>
        <v>76061.850000000006</v>
      </c>
      <c r="D12" s="16">
        <f t="shared" si="0"/>
        <v>0.14983802580299341</v>
      </c>
    </row>
    <row r="13" spans="1:4">
      <c r="A13" s="5">
        <v>97</v>
      </c>
      <c r="B13">
        <v>8405.84</v>
      </c>
      <c r="C13">
        <f t="shared" si="1"/>
        <v>84467.69</v>
      </c>
      <c r="D13" s="16">
        <f t="shared" si="0"/>
        <v>0.16639710858648912</v>
      </c>
    </row>
    <row r="14" spans="1:4">
      <c r="A14" s="5">
        <v>77</v>
      </c>
      <c r="B14">
        <v>7657.3700000000008</v>
      </c>
      <c r="C14">
        <f t="shared" si="1"/>
        <v>92125.06</v>
      </c>
      <c r="D14" s="16">
        <f t="shared" si="0"/>
        <v>0.18148174304703757</v>
      </c>
    </row>
    <row r="15" spans="1:4">
      <c r="A15" s="5">
        <v>92</v>
      </c>
      <c r="B15">
        <v>7588.8399999999992</v>
      </c>
      <c r="C15">
        <f t="shared" si="1"/>
        <v>99713.9</v>
      </c>
      <c r="D15" s="16">
        <f t="shared" si="0"/>
        <v>0.19643137684814532</v>
      </c>
    </row>
    <row r="16" spans="1:4">
      <c r="A16" s="5">
        <v>43</v>
      </c>
      <c r="B16">
        <v>7540.6299999999992</v>
      </c>
      <c r="C16">
        <f t="shared" si="1"/>
        <v>107254.53</v>
      </c>
      <c r="D16" s="16">
        <f t="shared" si="0"/>
        <v>0.21128603936964363</v>
      </c>
    </row>
    <row r="17" spans="1:4">
      <c r="A17" s="5">
        <v>79</v>
      </c>
      <c r="B17">
        <v>7426.3</v>
      </c>
      <c r="C17">
        <f t="shared" si="1"/>
        <v>114680.83</v>
      </c>
      <c r="D17" s="16">
        <f t="shared" si="0"/>
        <v>0.22591547753109736</v>
      </c>
    </row>
    <row r="18" spans="1:4">
      <c r="A18" s="5">
        <v>17</v>
      </c>
      <c r="B18">
        <v>7294.7</v>
      </c>
      <c r="C18">
        <f t="shared" si="1"/>
        <v>121975.53</v>
      </c>
      <c r="D18" s="16">
        <f t="shared" si="0"/>
        <v>0.24028567029954956</v>
      </c>
    </row>
    <row r="19" spans="1:4">
      <c r="A19" s="5">
        <v>86</v>
      </c>
      <c r="B19">
        <v>7140.7300000000014</v>
      </c>
      <c r="C19">
        <f t="shared" si="1"/>
        <v>129116.26</v>
      </c>
      <c r="D19" s="16">
        <f t="shared" si="0"/>
        <v>0.25435254989808953</v>
      </c>
    </row>
    <row r="20" spans="1:4">
      <c r="A20" s="5">
        <v>67</v>
      </c>
      <c r="B20">
        <v>6765.74</v>
      </c>
      <c r="C20">
        <f t="shared" si="1"/>
        <v>135882</v>
      </c>
      <c r="D20" s="16">
        <f t="shared" si="0"/>
        <v>0.26768071802306082</v>
      </c>
    </row>
    <row r="21" spans="1:4">
      <c r="A21" s="5">
        <v>51</v>
      </c>
      <c r="B21">
        <v>6671.68</v>
      </c>
      <c r="C21">
        <f t="shared" si="1"/>
        <v>142553.68</v>
      </c>
      <c r="D21" s="16">
        <f t="shared" si="0"/>
        <v>0.28082359267032897</v>
      </c>
    </row>
    <row r="22" spans="1:4">
      <c r="A22" s="5">
        <v>27</v>
      </c>
      <c r="B22">
        <v>6663.1</v>
      </c>
      <c r="C22">
        <f t="shared" si="1"/>
        <v>149216.78</v>
      </c>
      <c r="D22" s="16">
        <f t="shared" si="0"/>
        <v>0.29394956514835741</v>
      </c>
    </row>
    <row r="23" spans="1:4">
      <c r="A23" s="5">
        <v>1</v>
      </c>
      <c r="B23">
        <v>6652.5899999999983</v>
      </c>
      <c r="C23">
        <f t="shared" si="1"/>
        <v>155869.37</v>
      </c>
      <c r="D23" s="16">
        <f t="shared" si="0"/>
        <v>0.307054833454042</v>
      </c>
    </row>
    <row r="24" spans="1:4">
      <c r="A24" s="5">
        <v>12</v>
      </c>
      <c r="B24">
        <v>6583.6500000000005</v>
      </c>
      <c r="C24">
        <f t="shared" si="1"/>
        <v>162453.01999999999</v>
      </c>
      <c r="D24" s="16">
        <f t="shared" si="0"/>
        <v>0.32002429342086997</v>
      </c>
    </row>
    <row r="25" spans="1:4">
      <c r="A25" s="5">
        <v>46</v>
      </c>
      <c r="B25">
        <v>6520.4900000000007</v>
      </c>
      <c r="C25">
        <f t="shared" si="1"/>
        <v>168973.50999999998</v>
      </c>
      <c r="D25" s="16">
        <f t="shared" si="0"/>
        <v>0.3328693313586556</v>
      </c>
    </row>
    <row r="26" spans="1:4">
      <c r="A26" s="5">
        <v>7</v>
      </c>
      <c r="B26">
        <v>6496.2200000000012</v>
      </c>
      <c r="C26">
        <f t="shared" si="1"/>
        <v>175469.72999999998</v>
      </c>
      <c r="D26" s="16">
        <f t="shared" si="0"/>
        <v>0.34566655861492035</v>
      </c>
    </row>
    <row r="27" spans="1:4">
      <c r="A27" s="5">
        <v>4</v>
      </c>
      <c r="B27">
        <v>6495.4500000000007</v>
      </c>
      <c r="C27">
        <f t="shared" si="1"/>
        <v>181965.18</v>
      </c>
      <c r="D27" s="16">
        <f t="shared" si="0"/>
        <v>0.35846226900984313</v>
      </c>
    </row>
    <row r="28" spans="1:4">
      <c r="A28" s="5">
        <v>60</v>
      </c>
      <c r="B28">
        <v>6311.34</v>
      </c>
      <c r="C28">
        <f t="shared" si="1"/>
        <v>188276.52</v>
      </c>
      <c r="D28" s="16">
        <f t="shared" si="0"/>
        <v>0.370895291948037</v>
      </c>
    </row>
    <row r="29" spans="1:4">
      <c r="A29" s="5">
        <v>8</v>
      </c>
      <c r="B29">
        <v>6308.05</v>
      </c>
      <c r="C29">
        <f t="shared" si="1"/>
        <v>194584.56999999998</v>
      </c>
      <c r="D29" s="16">
        <f t="shared" si="0"/>
        <v>0.38332183375140588</v>
      </c>
    </row>
    <row r="30" spans="1:4">
      <c r="A30" s="5">
        <v>31</v>
      </c>
      <c r="B30">
        <v>6299.77</v>
      </c>
      <c r="C30">
        <f t="shared" si="1"/>
        <v>200884.33999999997</v>
      </c>
      <c r="D30" s="16">
        <f t="shared" si="0"/>
        <v>0.39573206437047342</v>
      </c>
    </row>
    <row r="31" spans="1:4">
      <c r="A31" s="5">
        <v>47</v>
      </c>
      <c r="B31">
        <v>6275.88</v>
      </c>
      <c r="C31">
        <f t="shared" si="1"/>
        <v>207160.21999999997</v>
      </c>
      <c r="D31" s="16">
        <f t="shared" si="0"/>
        <v>0.40809523288894212</v>
      </c>
    </row>
    <row r="32" spans="1:4">
      <c r="A32" s="5">
        <v>87</v>
      </c>
      <c r="B32">
        <v>6245.17</v>
      </c>
      <c r="C32">
        <f t="shared" si="1"/>
        <v>213405.38999999998</v>
      </c>
      <c r="D32" s="16">
        <f t="shared" si="0"/>
        <v>0.4203979042492112</v>
      </c>
    </row>
    <row r="33" spans="1:4">
      <c r="A33" s="5">
        <v>95</v>
      </c>
      <c r="B33">
        <v>6125.7800000000007</v>
      </c>
      <c r="C33">
        <f t="shared" si="1"/>
        <v>219531.16999999998</v>
      </c>
      <c r="D33" s="16">
        <f t="shared" si="0"/>
        <v>0.43246538330347378</v>
      </c>
    </row>
    <row r="34" spans="1:4">
      <c r="A34" s="5">
        <v>58</v>
      </c>
      <c r="B34">
        <v>6038.7699999999995</v>
      </c>
      <c r="C34">
        <f t="shared" si="1"/>
        <v>225569.93999999997</v>
      </c>
      <c r="D34" s="16">
        <f t="shared" si="0"/>
        <v>0.44436145702608687</v>
      </c>
    </row>
    <row r="35" spans="1:4">
      <c r="A35" s="5">
        <v>61</v>
      </c>
      <c r="B35">
        <v>5967.51</v>
      </c>
      <c r="C35">
        <f t="shared" si="1"/>
        <v>231537.44999999998</v>
      </c>
      <c r="D35" s="16">
        <f t="shared" si="0"/>
        <v>0.45611715212631943</v>
      </c>
    </row>
    <row r="36" spans="1:4">
      <c r="A36" s="5">
        <v>96</v>
      </c>
      <c r="B36">
        <v>5929.2300000000005</v>
      </c>
      <c r="C36">
        <f t="shared" si="1"/>
        <v>237466.68</v>
      </c>
      <c r="D36" s="16">
        <f t="shared" si="0"/>
        <v>0.4677974375484053</v>
      </c>
    </row>
    <row r="37" spans="1:4">
      <c r="A37" s="5">
        <v>69</v>
      </c>
      <c r="B37">
        <v>5917.02</v>
      </c>
      <c r="C37">
        <f t="shared" si="1"/>
        <v>243383.69999999998</v>
      </c>
      <c r="D37" s="16">
        <f t="shared" si="0"/>
        <v>0.47945366988349614</v>
      </c>
    </row>
    <row r="38" spans="1:4">
      <c r="A38" s="5">
        <v>5</v>
      </c>
      <c r="B38">
        <v>5912.5100000000011</v>
      </c>
      <c r="C38">
        <f t="shared" si="1"/>
        <v>249296.21</v>
      </c>
      <c r="D38" s="16">
        <f t="shared" si="0"/>
        <v>0.49110101774501225</v>
      </c>
    </row>
    <row r="39" spans="1:4">
      <c r="A39" s="5">
        <v>66</v>
      </c>
      <c r="B39">
        <v>5873.5999999999995</v>
      </c>
      <c r="C39">
        <f t="shared" si="1"/>
        <v>255169.81</v>
      </c>
      <c r="D39" s="16">
        <f t="shared" si="0"/>
        <v>0.50267171486001094</v>
      </c>
    </row>
    <row r="40" spans="1:4">
      <c r="A40" s="5">
        <v>35</v>
      </c>
      <c r="B40">
        <v>5862.079999999999</v>
      </c>
      <c r="C40">
        <f t="shared" si="1"/>
        <v>261031.88999999998</v>
      </c>
      <c r="D40" s="16">
        <f t="shared" si="0"/>
        <v>0.51421971815337297</v>
      </c>
    </row>
    <row r="41" spans="1:4">
      <c r="A41" s="5">
        <v>41</v>
      </c>
      <c r="B41">
        <v>5833.53</v>
      </c>
      <c r="C41">
        <f t="shared" si="1"/>
        <v>266865.42</v>
      </c>
      <c r="D41" s="16">
        <f t="shared" si="0"/>
        <v>0.52571147938009222</v>
      </c>
    </row>
    <row r="42" spans="1:4">
      <c r="A42" s="5">
        <v>14</v>
      </c>
      <c r="B42">
        <v>5693.66</v>
      </c>
      <c r="C42">
        <f t="shared" si="1"/>
        <v>272559.07999999996</v>
      </c>
      <c r="D42" s="16">
        <f t="shared" si="0"/>
        <v>0.53692770372900656</v>
      </c>
    </row>
    <row r="43" spans="1:4">
      <c r="A43" s="5">
        <v>76</v>
      </c>
      <c r="B43">
        <v>5620.61</v>
      </c>
      <c r="C43">
        <f t="shared" si="1"/>
        <v>278179.68999999994</v>
      </c>
      <c r="D43" s="16">
        <f t="shared" si="0"/>
        <v>0.54800002324540742</v>
      </c>
    </row>
    <row r="44" spans="1:4">
      <c r="A44" s="5">
        <v>99</v>
      </c>
      <c r="B44">
        <v>5598.1299999999992</v>
      </c>
      <c r="C44">
        <f t="shared" si="1"/>
        <v>283777.81999999995</v>
      </c>
      <c r="D44" s="16">
        <f t="shared" si="0"/>
        <v>0.55902805829042035</v>
      </c>
    </row>
    <row r="45" spans="1:4">
      <c r="A45" s="5">
        <v>64</v>
      </c>
      <c r="B45">
        <v>5596.64</v>
      </c>
      <c r="C45">
        <f t="shared" si="1"/>
        <v>289374.45999999996</v>
      </c>
      <c r="D45" s="16">
        <f t="shared" si="0"/>
        <v>0.57005315811023893</v>
      </c>
    </row>
    <row r="46" spans="1:4">
      <c r="A46" s="5">
        <v>75</v>
      </c>
      <c r="B46">
        <v>5583.3099999999995</v>
      </c>
      <c r="C46">
        <f t="shared" si="1"/>
        <v>294957.76999999996</v>
      </c>
      <c r="D46" s="16">
        <f t="shared" si="0"/>
        <v>0.58105199849929212</v>
      </c>
    </row>
    <row r="47" spans="1:4">
      <c r="A47" s="5">
        <v>33</v>
      </c>
      <c r="B47">
        <v>5575.81</v>
      </c>
      <c r="C47">
        <f t="shared" si="1"/>
        <v>300533.57999999996</v>
      </c>
      <c r="D47" s="16">
        <f t="shared" si="0"/>
        <v>0.59203606426488409</v>
      </c>
    </row>
    <row r="48" spans="1:4">
      <c r="A48" s="5">
        <v>28</v>
      </c>
      <c r="B48">
        <v>5540.8199999999988</v>
      </c>
      <c r="C48">
        <f t="shared" si="1"/>
        <v>306074.39999999997</v>
      </c>
      <c r="D48" s="16">
        <f t="shared" si="0"/>
        <v>0.60295120148715442</v>
      </c>
    </row>
    <row r="49" spans="1:4">
      <c r="A49" s="5">
        <v>65</v>
      </c>
      <c r="B49">
        <v>5530.59</v>
      </c>
      <c r="C49">
        <f t="shared" si="1"/>
        <v>311604.99</v>
      </c>
      <c r="D49" s="16">
        <f t="shared" si="0"/>
        <v>0.61384618612302355</v>
      </c>
    </row>
    <row r="50" spans="1:4">
      <c r="A50" s="5">
        <v>26</v>
      </c>
      <c r="B50">
        <v>5301.89</v>
      </c>
      <c r="C50">
        <f t="shared" si="1"/>
        <v>316906.88</v>
      </c>
      <c r="D50" s="16">
        <f t="shared" si="0"/>
        <v>0.62429064324081163</v>
      </c>
    </row>
    <row r="51" spans="1:4">
      <c r="A51" s="5">
        <v>39</v>
      </c>
      <c r="B51">
        <v>5273.25</v>
      </c>
      <c r="C51">
        <f t="shared" si="1"/>
        <v>322180.13</v>
      </c>
      <c r="D51" s="16">
        <f t="shared" si="0"/>
        <v>0.6346786809964754</v>
      </c>
    </row>
    <row r="52" spans="1:4">
      <c r="A52" s="5">
        <v>30</v>
      </c>
      <c r="B52">
        <v>5272.82</v>
      </c>
      <c r="C52">
        <f t="shared" si="1"/>
        <v>327452.95</v>
      </c>
      <c r="D52" s="16">
        <f t="shared" si="0"/>
        <v>0.64506587167372742</v>
      </c>
    </row>
    <row r="53" spans="1:4">
      <c r="A53" s="5">
        <v>83</v>
      </c>
      <c r="B53">
        <v>5244.9499999999989</v>
      </c>
      <c r="C53">
        <f t="shared" si="1"/>
        <v>332697.90000000002</v>
      </c>
      <c r="D53" s="16">
        <f t="shared" si="0"/>
        <v>0.65539815985019712</v>
      </c>
    </row>
    <row r="54" spans="1:4">
      <c r="A54" s="5">
        <v>36</v>
      </c>
      <c r="B54">
        <v>5201.8499999999985</v>
      </c>
      <c r="C54">
        <f t="shared" si="1"/>
        <v>337899.75</v>
      </c>
      <c r="D54" s="16">
        <f t="shared" si="0"/>
        <v>0.66564554319050895</v>
      </c>
    </row>
    <row r="55" spans="1:4">
      <c r="A55" s="5">
        <v>88</v>
      </c>
      <c r="B55">
        <v>5181.3900000000003</v>
      </c>
      <c r="C55">
        <f t="shared" si="1"/>
        <v>343081.14</v>
      </c>
      <c r="D55" s="16">
        <f t="shared" si="0"/>
        <v>0.67585262135801838</v>
      </c>
    </row>
    <row r="56" spans="1:4">
      <c r="A56" s="5">
        <v>13</v>
      </c>
      <c r="B56">
        <v>5100.6399999999994</v>
      </c>
      <c r="C56">
        <f t="shared" si="1"/>
        <v>348181.78</v>
      </c>
      <c r="D56" s="16">
        <f t="shared" si="0"/>
        <v>0.68590062607959412</v>
      </c>
    </row>
    <row r="57" spans="1:4">
      <c r="A57" s="5">
        <v>37</v>
      </c>
      <c r="B57">
        <v>5037.51</v>
      </c>
      <c r="C57">
        <f t="shared" si="1"/>
        <v>353219.29000000004</v>
      </c>
      <c r="D57" s="16">
        <f t="shared" si="0"/>
        <v>0.69582426787062124</v>
      </c>
    </row>
    <row r="58" spans="1:4">
      <c r="A58" s="5">
        <v>90</v>
      </c>
      <c r="B58">
        <v>4849.9400000000005</v>
      </c>
      <c r="C58">
        <f t="shared" si="1"/>
        <v>358069.23000000004</v>
      </c>
      <c r="D58" s="16">
        <f t="shared" si="0"/>
        <v>0.70537840617862935</v>
      </c>
    </row>
    <row r="59" spans="1:4">
      <c r="A59" s="5">
        <v>98</v>
      </c>
      <c r="B59">
        <v>4604.3799999999992</v>
      </c>
      <c r="C59">
        <f t="shared" si="1"/>
        <v>362673.61000000004</v>
      </c>
      <c r="D59" s="16">
        <f t="shared" si="0"/>
        <v>0.7144488036150155</v>
      </c>
    </row>
    <row r="60" spans="1:4">
      <c r="A60" s="5">
        <v>48</v>
      </c>
      <c r="B60">
        <v>4458.07</v>
      </c>
      <c r="C60">
        <f t="shared" si="1"/>
        <v>367131.68000000005</v>
      </c>
      <c r="D60" s="16">
        <f t="shared" si="0"/>
        <v>0.72323097769691802</v>
      </c>
    </row>
    <row r="61" spans="1:4">
      <c r="A61" s="5">
        <v>72</v>
      </c>
      <c r="B61">
        <v>4455.2699999999995</v>
      </c>
      <c r="C61">
        <f t="shared" si="1"/>
        <v>371586.95000000007</v>
      </c>
      <c r="D61" s="16">
        <f t="shared" si="0"/>
        <v>0.73200763591939488</v>
      </c>
    </row>
    <row r="62" spans="1:4">
      <c r="A62" s="5">
        <v>9</v>
      </c>
      <c r="B62">
        <v>4438.3999999999996</v>
      </c>
      <c r="C62">
        <f t="shared" si="1"/>
        <v>376025.35000000009</v>
      </c>
      <c r="D62" s="16">
        <f t="shared" si="0"/>
        <v>0.74075106108883282</v>
      </c>
    </row>
    <row r="63" spans="1:4">
      <c r="A63" s="5">
        <v>73</v>
      </c>
      <c r="B63">
        <v>4406.7199999999993</v>
      </c>
      <c r="C63">
        <f t="shared" si="1"/>
        <v>380432.07000000007</v>
      </c>
      <c r="D63" s="16">
        <f t="shared" si="0"/>
        <v>0.7494320782487699</v>
      </c>
    </row>
    <row r="64" spans="1:4">
      <c r="A64" s="5">
        <v>54</v>
      </c>
      <c r="B64">
        <v>4393.43</v>
      </c>
      <c r="C64">
        <f t="shared" si="1"/>
        <v>384825.50000000006</v>
      </c>
      <c r="D64" s="16">
        <f t="shared" si="0"/>
        <v>0.7580869147759336</v>
      </c>
    </row>
    <row r="65" spans="1:4">
      <c r="A65" s="5">
        <v>100</v>
      </c>
      <c r="B65">
        <v>4372.1499999999996</v>
      </c>
      <c r="C65">
        <f t="shared" si="1"/>
        <v>389197.65000000008</v>
      </c>
      <c r="D65" s="16">
        <f t="shared" si="0"/>
        <v>0.76669983077146298</v>
      </c>
    </row>
    <row r="66" spans="1:4">
      <c r="A66" s="5">
        <v>44</v>
      </c>
      <c r="B66">
        <v>4258.41</v>
      </c>
      <c r="C66">
        <f t="shared" si="1"/>
        <v>393456.06000000006</v>
      </c>
      <c r="D66" s="16">
        <f t="shared" si="0"/>
        <v>0.77508868467732672</v>
      </c>
    </row>
    <row r="67" spans="1:4">
      <c r="A67" s="5">
        <v>68</v>
      </c>
      <c r="B67">
        <v>4244.3300000000008</v>
      </c>
      <c r="C67">
        <f t="shared" si="1"/>
        <v>397700.39000000007</v>
      </c>
      <c r="D67" s="16">
        <f t="shared" si="0"/>
        <v>0.78344980169007916</v>
      </c>
    </row>
    <row r="68" spans="1:4">
      <c r="A68" s="5">
        <v>23</v>
      </c>
      <c r="B68">
        <v>4083.2200000000003</v>
      </c>
      <c r="C68">
        <f t="shared" si="1"/>
        <v>401783.61000000004</v>
      </c>
      <c r="D68" s="16">
        <f t="shared" si="0"/>
        <v>0.79149354009138406</v>
      </c>
    </row>
    <row r="69" spans="1:4">
      <c r="A69" s="5">
        <v>15</v>
      </c>
      <c r="B69">
        <v>4042.51</v>
      </c>
      <c r="C69">
        <f t="shared" si="1"/>
        <v>405826.12000000005</v>
      </c>
      <c r="D69" s="16">
        <f t="shared" si="0"/>
        <v>0.79945708183654096</v>
      </c>
    </row>
    <row r="70" spans="1:4">
      <c r="A70" s="5">
        <v>70</v>
      </c>
      <c r="B70">
        <v>3970</v>
      </c>
      <c r="C70">
        <f t="shared" si="1"/>
        <v>409796.12000000005</v>
      </c>
      <c r="D70" s="16">
        <f t="shared" ref="D70:D104" si="2">C70/$B$105</f>
        <v>0.80727778252207361</v>
      </c>
    </row>
    <row r="71" spans="1:4">
      <c r="A71" s="5">
        <v>11</v>
      </c>
      <c r="B71">
        <v>3925.33</v>
      </c>
      <c r="C71">
        <f t="shared" si="1"/>
        <v>413721.45000000007</v>
      </c>
      <c r="D71" s="16">
        <f t="shared" si="2"/>
        <v>0.81501048555027056</v>
      </c>
    </row>
    <row r="72" spans="1:4">
      <c r="A72" s="5">
        <v>38</v>
      </c>
      <c r="B72">
        <v>3857.37</v>
      </c>
      <c r="C72">
        <f t="shared" ref="C72:C101" si="3">C71+B72</f>
        <v>417578.82000000007</v>
      </c>
      <c r="D72" s="16">
        <f t="shared" si="2"/>
        <v>0.82260931079040989</v>
      </c>
    </row>
    <row r="73" spans="1:4">
      <c r="A73" s="5">
        <v>20</v>
      </c>
      <c r="B73">
        <v>3768.31</v>
      </c>
      <c r="C73">
        <f t="shared" si="3"/>
        <v>421347.13000000006</v>
      </c>
      <c r="D73" s="16">
        <f t="shared" si="2"/>
        <v>0.83003269230182042</v>
      </c>
    </row>
    <row r="74" spans="1:4">
      <c r="A74" s="5">
        <v>22</v>
      </c>
      <c r="B74">
        <v>3751.6600000000003</v>
      </c>
      <c r="C74">
        <f t="shared" si="3"/>
        <v>425098.79000000004</v>
      </c>
      <c r="D74" s="16">
        <f t="shared" si="2"/>
        <v>0.83742327414914675</v>
      </c>
    </row>
    <row r="75" spans="1:4">
      <c r="A75" s="5">
        <v>16</v>
      </c>
      <c r="B75">
        <v>3559.3900000000003</v>
      </c>
      <c r="C75">
        <f t="shared" si="3"/>
        <v>428658.18000000005</v>
      </c>
      <c r="D75" s="16">
        <f t="shared" si="2"/>
        <v>0.84443509374941828</v>
      </c>
    </row>
    <row r="76" spans="1:4">
      <c r="A76" s="5">
        <v>94</v>
      </c>
      <c r="B76">
        <v>3489.8</v>
      </c>
      <c r="C76">
        <f t="shared" si="3"/>
        <v>432147.98000000004</v>
      </c>
      <c r="D76" s="16">
        <f t="shared" si="2"/>
        <v>0.8513098245434666</v>
      </c>
    </row>
    <row r="77" spans="1:4">
      <c r="A77" s="5">
        <v>25</v>
      </c>
      <c r="B77">
        <v>3479.1899999999996</v>
      </c>
      <c r="C77">
        <f t="shared" si="3"/>
        <v>435627.17000000004</v>
      </c>
      <c r="D77" s="16">
        <f t="shared" si="2"/>
        <v>0.85816365417019169</v>
      </c>
    </row>
    <row r="78" spans="1:4">
      <c r="A78" s="5">
        <v>93</v>
      </c>
      <c r="B78">
        <v>3459.6600000000003</v>
      </c>
      <c r="C78">
        <f t="shared" si="3"/>
        <v>439086.83</v>
      </c>
      <c r="D78" s="16">
        <f t="shared" si="2"/>
        <v>0.86497901067742333</v>
      </c>
    </row>
    <row r="79" spans="1:4">
      <c r="A79" s="5">
        <v>84</v>
      </c>
      <c r="B79">
        <v>3443.31</v>
      </c>
      <c r="C79">
        <f t="shared" si="3"/>
        <v>442530.14</v>
      </c>
      <c r="D79" s="16">
        <f t="shared" si="2"/>
        <v>0.87176215850550942</v>
      </c>
    </row>
    <row r="80" spans="1:4">
      <c r="A80" s="5">
        <v>82</v>
      </c>
      <c r="B80">
        <v>3376.04</v>
      </c>
      <c r="C80">
        <f t="shared" si="3"/>
        <v>445906.18</v>
      </c>
      <c r="D80" s="16">
        <f t="shared" si="2"/>
        <v>0.87841278781089616</v>
      </c>
    </row>
    <row r="81" spans="1:4">
      <c r="A81" s="5">
        <v>24</v>
      </c>
      <c r="B81">
        <v>3357.99</v>
      </c>
      <c r="C81">
        <f t="shared" si="3"/>
        <v>449264.17</v>
      </c>
      <c r="D81" s="16">
        <f t="shared" si="2"/>
        <v>0.88502785952248608</v>
      </c>
    </row>
    <row r="82" spans="1:4">
      <c r="A82" s="5">
        <v>80</v>
      </c>
      <c r="B82">
        <v>3348.6800000000003</v>
      </c>
      <c r="C82">
        <f t="shared" si="3"/>
        <v>452612.85</v>
      </c>
      <c r="D82" s="16">
        <f t="shared" si="2"/>
        <v>0.89162459100148594</v>
      </c>
    </row>
    <row r="83" spans="1:4">
      <c r="A83" s="5">
        <v>62</v>
      </c>
      <c r="B83">
        <v>3271.4100000000003</v>
      </c>
      <c r="C83">
        <f t="shared" si="3"/>
        <v>455884.25999999995</v>
      </c>
      <c r="D83" s="16">
        <f t="shared" si="2"/>
        <v>0.89806910445983812</v>
      </c>
    </row>
    <row r="84" spans="1:4">
      <c r="A84" s="5">
        <v>53</v>
      </c>
      <c r="B84">
        <v>3271.12</v>
      </c>
      <c r="C84">
        <f t="shared" si="3"/>
        <v>459155.37999999995</v>
      </c>
      <c r="D84" s="16">
        <f t="shared" si="2"/>
        <v>0.9045130466327499</v>
      </c>
    </row>
    <row r="85" spans="1:4">
      <c r="A85" s="5">
        <v>2</v>
      </c>
      <c r="B85">
        <v>3189.3999999999996</v>
      </c>
      <c r="C85">
        <f t="shared" si="3"/>
        <v>462344.77999999997</v>
      </c>
      <c r="D85" s="16">
        <f t="shared" si="2"/>
        <v>0.91079600450842702</v>
      </c>
    </row>
    <row r="86" spans="1:4">
      <c r="A86" s="5">
        <v>3</v>
      </c>
      <c r="B86">
        <v>3106.65</v>
      </c>
      <c r="C86">
        <f t="shared" si="3"/>
        <v>465451.43</v>
      </c>
      <c r="D86" s="16">
        <f t="shared" si="2"/>
        <v>0.91691594903858076</v>
      </c>
    </row>
    <row r="87" spans="1:4">
      <c r="A87" s="5">
        <v>57</v>
      </c>
      <c r="B87">
        <v>3090.9399999999996</v>
      </c>
      <c r="C87">
        <f t="shared" si="3"/>
        <v>468542.37</v>
      </c>
      <c r="D87" s="16">
        <f t="shared" si="2"/>
        <v>0.92300494565745739</v>
      </c>
    </row>
    <row r="88" spans="1:4">
      <c r="A88" s="5">
        <v>71</v>
      </c>
      <c r="B88">
        <v>2952.7799999999997</v>
      </c>
      <c r="C88">
        <f t="shared" si="3"/>
        <v>471495.15</v>
      </c>
      <c r="D88" s="16">
        <f t="shared" si="2"/>
        <v>0.9288217740126784</v>
      </c>
    </row>
    <row r="89" spans="1:4">
      <c r="A89" s="5">
        <v>78</v>
      </c>
      <c r="B89">
        <v>2760.3</v>
      </c>
      <c r="C89">
        <f t="shared" si="3"/>
        <v>474255.45</v>
      </c>
      <c r="D89" s="16">
        <f t="shared" si="2"/>
        <v>0.93425942643138771</v>
      </c>
    </row>
    <row r="90" spans="1:4">
      <c r="A90" s="5">
        <v>29</v>
      </c>
      <c r="B90">
        <v>2751.56</v>
      </c>
      <c r="C90">
        <f t="shared" si="3"/>
        <v>477007.01</v>
      </c>
      <c r="D90" s="16">
        <f t="shared" si="2"/>
        <v>0.93967986148889004</v>
      </c>
    </row>
    <row r="91" spans="1:4">
      <c r="A91" s="5">
        <v>32</v>
      </c>
      <c r="B91">
        <v>2694.1099999999997</v>
      </c>
      <c r="C91">
        <f t="shared" si="3"/>
        <v>479701.12</v>
      </c>
      <c r="D91" s="16">
        <f t="shared" si="2"/>
        <v>0.94498712293067855</v>
      </c>
    </row>
    <row r="92" spans="1:4">
      <c r="A92" s="5">
        <v>91</v>
      </c>
      <c r="B92">
        <v>2675.7</v>
      </c>
      <c r="C92">
        <f t="shared" si="3"/>
        <v>482376.82</v>
      </c>
      <c r="D92" s="16">
        <f t="shared" si="2"/>
        <v>0.95025811759674395</v>
      </c>
    </row>
    <row r="93" spans="1:4">
      <c r="A93" s="5">
        <v>40</v>
      </c>
      <c r="B93">
        <v>2622.7700000000004</v>
      </c>
      <c r="C93">
        <f t="shared" si="3"/>
        <v>484999.59</v>
      </c>
      <c r="D93" s="16">
        <f t="shared" si="2"/>
        <v>0.95542484282016826</v>
      </c>
    </row>
    <row r="94" spans="1:4">
      <c r="A94" s="5">
        <v>42</v>
      </c>
      <c r="B94">
        <v>2556.5099999999998</v>
      </c>
      <c r="C94">
        <f t="shared" si="3"/>
        <v>487556.10000000003</v>
      </c>
      <c r="D94" s="16">
        <f t="shared" si="2"/>
        <v>0.96046103917018621</v>
      </c>
    </row>
    <row r="95" spans="1:4">
      <c r="A95" s="5">
        <v>59</v>
      </c>
      <c r="B95">
        <v>2504.5100000000002</v>
      </c>
      <c r="C95">
        <f t="shared" si="3"/>
        <v>490060.61000000004</v>
      </c>
      <c r="D95" s="16">
        <f t="shared" si="2"/>
        <v>0.96539479813087226</v>
      </c>
    </row>
    <row r="96" spans="1:4">
      <c r="A96" s="5">
        <v>89</v>
      </c>
      <c r="B96">
        <v>2471.1600000000003</v>
      </c>
      <c r="C96">
        <f t="shared" si="3"/>
        <v>492531.77</v>
      </c>
      <c r="D96" s="16">
        <f t="shared" si="2"/>
        <v>0.97026285926590017</v>
      </c>
    </row>
    <row r="97" spans="1:4">
      <c r="A97" s="5">
        <v>50</v>
      </c>
      <c r="B97">
        <v>2381.59</v>
      </c>
      <c r="C97">
        <f t="shared" si="3"/>
        <v>494913.36000000004</v>
      </c>
      <c r="D97" s="16">
        <f t="shared" si="2"/>
        <v>0.97495447199780394</v>
      </c>
    </row>
    <row r="98" spans="1:4">
      <c r="A98" s="5">
        <v>21</v>
      </c>
      <c r="B98">
        <v>2350.21</v>
      </c>
      <c r="C98">
        <f t="shared" si="3"/>
        <v>497263.57000000007</v>
      </c>
      <c r="D98" s="16">
        <f t="shared" si="2"/>
        <v>0.97958426770514551</v>
      </c>
    </row>
    <row r="99" spans="1:4">
      <c r="A99" s="5">
        <v>34</v>
      </c>
      <c r="B99">
        <v>2154.1699999999996</v>
      </c>
      <c r="C99">
        <f t="shared" si="3"/>
        <v>499417.74000000005</v>
      </c>
      <c r="D99" s="16">
        <f t="shared" si="2"/>
        <v>0.98382787445470565</v>
      </c>
    </row>
    <row r="100" spans="1:4">
      <c r="A100" s="5">
        <v>19</v>
      </c>
      <c r="B100">
        <v>1982.36</v>
      </c>
      <c r="C100">
        <f t="shared" si="3"/>
        <v>501400.10000000003</v>
      </c>
      <c r="D100" s="16">
        <f t="shared" si="2"/>
        <v>0.98773302413001351</v>
      </c>
    </row>
    <row r="101" spans="1:4">
      <c r="A101" s="5">
        <v>18</v>
      </c>
      <c r="B101">
        <v>1946.31</v>
      </c>
      <c r="C101">
        <f t="shared" si="3"/>
        <v>503346.41000000003</v>
      </c>
      <c r="D101" s="16">
        <f t="shared" si="2"/>
        <v>0.99156715711521737</v>
      </c>
    </row>
    <row r="102" spans="1:4">
      <c r="A102" s="5">
        <v>52</v>
      </c>
      <c r="B102">
        <v>1647.65</v>
      </c>
      <c r="C102">
        <f>C101+B102</f>
        <v>504994.06000000006</v>
      </c>
      <c r="D102" s="16">
        <f t="shared" si="2"/>
        <v>0.99481294489469296</v>
      </c>
    </row>
    <row r="103" spans="1:4">
      <c r="A103" s="5">
        <v>85</v>
      </c>
      <c r="B103">
        <v>1337.25</v>
      </c>
      <c r="C103">
        <f t="shared" ref="C103:C104" si="4">C102+B103</f>
        <v>506331.31000000006</v>
      </c>
      <c r="D103" s="16">
        <f t="shared" si="2"/>
        <v>0.9974472602578488</v>
      </c>
    </row>
    <row r="104" spans="1:4">
      <c r="A104" s="5">
        <v>55</v>
      </c>
      <c r="B104">
        <v>1295.8400000000001</v>
      </c>
      <c r="C104">
        <f t="shared" si="4"/>
        <v>507627.15000000008</v>
      </c>
      <c r="D104" s="16">
        <f t="shared" si="2"/>
        <v>1.0000000000000002</v>
      </c>
    </row>
    <row r="105" spans="1:4">
      <c r="A105" s="5" t="s">
        <v>146</v>
      </c>
      <c r="B105">
        <v>507627.15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08C0-4367-4DC3-9C9D-94F7A851061B}">
  <dimension ref="A1:B9"/>
  <sheetViews>
    <sheetView tabSelected="1" workbookViewId="0">
      <selection activeCell="B23" sqref="B23"/>
    </sheetView>
  </sheetViews>
  <sheetFormatPr defaultRowHeight="15"/>
  <cols>
    <col min="1" max="1" width="22.7109375" customWidth="1"/>
    <col min="2" max="2" width="64.5703125" customWidth="1"/>
  </cols>
  <sheetData>
    <row r="1" spans="1:2">
      <c r="A1" s="2" t="s">
        <v>0</v>
      </c>
      <c r="B1" t="s">
        <v>131</v>
      </c>
    </row>
    <row r="2" spans="1:2">
      <c r="A2" s="2" t="s">
        <v>132</v>
      </c>
      <c r="B2" t="s">
        <v>144</v>
      </c>
    </row>
    <row r="3" spans="1:2">
      <c r="A3" s="2" t="s">
        <v>130</v>
      </c>
      <c r="B3" t="s">
        <v>133</v>
      </c>
    </row>
    <row r="4" spans="1:2">
      <c r="A4" s="2" t="s">
        <v>139</v>
      </c>
      <c r="B4" t="s">
        <v>134</v>
      </c>
    </row>
    <row r="5" spans="1:2">
      <c r="A5" s="2" t="s">
        <v>140</v>
      </c>
      <c r="B5" t="s">
        <v>137</v>
      </c>
    </row>
    <row r="6" spans="1:2" ht="15.75">
      <c r="A6" s="3" t="s">
        <v>141</v>
      </c>
      <c r="B6" t="s">
        <v>135</v>
      </c>
    </row>
    <row r="7" spans="1:2">
      <c r="A7" s="2" t="s">
        <v>142</v>
      </c>
      <c r="B7" t="s">
        <v>136</v>
      </c>
    </row>
    <row r="8" spans="1:2">
      <c r="A8" s="2" t="s">
        <v>143</v>
      </c>
      <c r="B8" t="s">
        <v>138</v>
      </c>
    </row>
    <row r="9" spans="1:2">
      <c r="A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defects_data (2)</vt:lpstr>
      <vt:lpstr>pivot table 1</vt:lpstr>
      <vt:lpstr>pivot table 2</vt:lpstr>
      <vt:lpstr>pivot tabe 3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obianuju Otti</cp:lastModifiedBy>
  <dcterms:created xsi:type="dcterms:W3CDTF">2026-05-12T22:04:47Z</dcterms:created>
  <dcterms:modified xsi:type="dcterms:W3CDTF">2026-09-09T00:21:42Z</dcterms:modified>
</cp:coreProperties>
</file>